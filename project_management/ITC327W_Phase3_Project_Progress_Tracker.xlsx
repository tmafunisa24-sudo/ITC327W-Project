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
    </mc:Choice>
  </mc:AlternateContent>
  <bookViews>
    <workbookView xWindow="0" yWindow="0" windowWidth="17970" windowHeight="5430" firstSheet="2" activeTab="5"/>
  </bookViews>
  <sheets>
    <sheet name="Instructions" sheetId="1" r:id="rId1"/>
    <sheet name="Project Overview" sheetId="2" r:id="rId2"/>
    <sheet name="Development Progress" sheetId="3" r:id="rId3"/>
    <sheet name="Individual Contributions" sheetId="4" r:id="rId4"/>
    <sheet name="Integration Progress" sheetId="5" r:id="rId5"/>
    <sheet name="Implementation Evidence" sheetId="6" r:id="rId6"/>
    <sheet name="Challenges &amp; Actions" sheetId="7" r:id="rId7"/>
    <sheet name="Phase Summary" sheetId="8" r:id="rId8"/>
    <sheet name="Group Reflection" sheetId="9" r:id="rId9"/>
  </sheets>
  <calcPr calcId="162913"/>
</workbook>
</file>

<file path=xl/calcChain.xml><?xml version="1.0" encoding="utf-8"?>
<calcChain xmlns="http://schemas.openxmlformats.org/spreadsheetml/2006/main">
  <c r="E8" i="2" l="1"/>
  <c r="E7" i="2"/>
  <c r="E6" i="2"/>
  <c r="E5" i="2"/>
  <c r="E4" i="2"/>
</calcChain>
</file>

<file path=xl/sharedStrings.xml><?xml version="1.0" encoding="utf-8"?>
<sst xmlns="http://schemas.openxmlformats.org/spreadsheetml/2006/main" count="638" uniqueCount="360">
  <si>
    <t>ITC327W Phase 3 Project Progress Tracker</t>
  </si>
  <si>
    <t>Use this workbook during Phase 3: System Development, Implementation and Final Demonstration. Update it throughout the phase and submit the same workbook with Assessment 3.</t>
  </si>
  <si>
    <t>Sheet</t>
  </si>
  <si>
    <t>Purpose</t>
  </si>
  <si>
    <t>What must be kept current</t>
  </si>
  <si>
    <t>Project Overview</t>
  </si>
  <si>
    <t>Group details and automatic development summary</t>
  </si>
  <si>
    <t>Project details, GitHub link and current Phase 3 progress</t>
  </si>
  <si>
    <t>Development Progress</t>
  </si>
  <si>
    <t>Track implementation work</t>
  </si>
  <si>
    <t>Supabase, Flutter, ASP.NET, integration, SRS, GitHub, Microsoft Project and demonstration preparation</t>
  </si>
  <si>
    <t>Individual Contributions</t>
  </si>
  <si>
    <t>Record work personally completed by each student</t>
  </si>
  <si>
    <t>Activity, responsibility, completed work and evidence</t>
  </si>
  <si>
    <t>Integration Progress</t>
  </si>
  <si>
    <t>Track important shared processes across the system</t>
  </si>
  <si>
    <t>Flutter action, ASP.NET action, shared Supabase information and current working status</t>
  </si>
  <si>
    <t>Implementation Evidence</t>
  </si>
  <si>
    <t>Record evidence of the working prototype</t>
  </si>
  <si>
    <t>Screenshots, recordings, GitHub commits/links and relevant SRS sections</t>
  </si>
  <si>
    <t>Challenges &amp; Actions</t>
  </si>
  <si>
    <t>Record development/integration challenges and corrective action</t>
  </si>
  <si>
    <t>Problem, effect, action, owner, target date and status</t>
  </si>
  <si>
    <t>Phase Summary</t>
  </si>
  <si>
    <t>Summarise Phase 3 progress</t>
  </si>
  <si>
    <t>Completed work, limitations, participation and final readiness</t>
  </si>
  <si>
    <t>Group Reflection</t>
  </si>
  <si>
    <t>One shared final group reflection</t>
  </si>
  <si>
    <t>Development experience, collaboration, challenges and lessons learned</t>
  </si>
  <si>
    <t>Important</t>
  </si>
  <si>
    <t>Phase 3 does not require a formal test plan, test cases or defect log. Record normal development checks, working functions, integration progress, challenges and corrections as part of implementation. Do not include passwords, API keys or confidential stakeholder/user information.</t>
  </si>
  <si>
    <t>Phase 3 Project Overview</t>
  </si>
  <si>
    <t>Group</t>
  </si>
  <si>
    <t>Phase 3 Development Summary</t>
  </si>
  <si>
    <t>Project Title</t>
  </si>
  <si>
    <t>Total tracked items</t>
  </si>
  <si>
    <t>Stakeholder / Organisation</t>
  </si>
  <si>
    <t>Completed</t>
  </si>
  <si>
    <t>Group Leader</t>
  </si>
  <si>
    <t>In Progress</t>
  </si>
  <si>
    <t>Number of Group Members</t>
  </si>
  <si>
    <t>Blocked</t>
  </si>
  <si>
    <t>GitHub Repository Link</t>
  </si>
  <si>
    <t>Average completion</t>
  </si>
  <si>
    <t>Reporting Period</t>
  </si>
  <si>
    <t>Overall Phase Status</t>
  </si>
  <si>
    <t>Not Started</t>
  </si>
  <si>
    <t>Phase 3 Reminder</t>
  </si>
  <si>
    <t>Phase 3 focuses on implementing and demonstrating the integrated prototype. Track the shared Supabase backend, Flutter mobile application, ASP.NET web application, important shared processes, GitHub evidence, Microsoft Project and the final demonstration.</t>
  </si>
  <si>
    <t>Phase 3 Development Progress</t>
  </si>
  <si>
    <t>Task ID</t>
  </si>
  <si>
    <t>Development Area</t>
  </si>
  <si>
    <t>Task / Function</t>
  </si>
  <si>
    <t>Responsible Student(s)</t>
  </si>
  <si>
    <t>Planned Date</t>
  </si>
  <si>
    <t>Actual Completion Date</t>
  </si>
  <si>
    <t>Status</t>
  </si>
  <si>
    <t>% Complete</t>
  </si>
  <si>
    <t>Evidence / GitHub Link</t>
  </si>
  <si>
    <t>Notes / Action Required</t>
  </si>
  <si>
    <t>P3-01</t>
  </si>
  <si>
    <t>Supabase Backend</t>
  </si>
  <si>
    <t>Required tables, fields, keys and relationships implemented</t>
  </si>
  <si>
    <t>P3-02</t>
  </si>
  <si>
    <t>Authentication and access configured where required</t>
  </si>
  <si>
    <t>P3-03</t>
  </si>
  <si>
    <t>Flutter</t>
  </si>
  <si>
    <t>Approved mobile screens and navigation implemented</t>
  </si>
  <si>
    <t>P3-04</t>
  </si>
  <si>
    <t>Main mobile functions connected to Supabase</t>
  </si>
  <si>
    <t>P3-05</t>
  </si>
  <si>
    <t>ASP.NET</t>
  </si>
  <si>
    <t>Approved web pages and navigation implemented</t>
  </si>
  <si>
    <t>P3-06</t>
  </si>
  <si>
    <t>Main web functions connected to Supabase</t>
  </si>
  <si>
    <t>P3-07</t>
  </si>
  <si>
    <t>Integration</t>
  </si>
  <si>
    <t>Shared Process 1 working across the integrated system</t>
  </si>
  <si>
    <t>P3-08</t>
  </si>
  <si>
    <t>Shared Process 2 working across the integrated system</t>
  </si>
  <si>
    <t>P3-09</t>
  </si>
  <si>
    <t>Data fields and status values consistent across applications</t>
  </si>
  <si>
    <t>P3-10</t>
  </si>
  <si>
    <t>SRS</t>
  </si>
  <si>
    <t>Implementation status, approved changes and known limitations updated</t>
  </si>
  <si>
    <t>P3-11</t>
  </si>
  <si>
    <t>Microsoft Project</t>
  </si>
  <si>
    <t>Schedule updated to reflect actual development progress</t>
  </si>
  <si>
    <t>P3-12</t>
  </si>
  <si>
    <t>GitHub</t>
  </si>
  <si>
    <t>Current source code, README and relevant documentation organised</t>
  </si>
  <si>
    <t>P3-13</t>
  </si>
  <si>
    <t>Final Demonstration</t>
  </si>
  <si>
    <t>Prototype and demonstration flow prepared for panel</t>
  </si>
  <si>
    <t>Phase 3 Individual Contributions</t>
  </si>
  <si>
    <t>Student Name</t>
  </si>
  <si>
    <t>Student Number</t>
  </si>
  <si>
    <t>Assigned Responsibility</t>
  </si>
  <si>
    <t>Work Personally Completed</t>
  </si>
  <si>
    <t>Date Completed</t>
  </si>
  <si>
    <t>Hours Spent</t>
  </si>
  <si>
    <t>Verified by Group</t>
  </si>
  <si>
    <t>Verification Date</t>
  </si>
  <si>
    <t>Quality / Review Notes</t>
  </si>
  <si>
    <t>Contribution Status</t>
  </si>
  <si>
    <t>No</t>
  </si>
  <si>
    <t>Phase 3 Shared Process and Integration Progress</t>
  </si>
  <si>
    <t>Shared Process</t>
  </si>
  <si>
    <t>Related Requirement / Use Case</t>
  </si>
  <si>
    <t>Flutter Action</t>
  </si>
  <si>
    <t>ASP.NET Action</t>
  </si>
  <si>
    <t>Shared Supabase Information</t>
  </si>
  <si>
    <t>Current Status</t>
  </si>
  <si>
    <t>Evidence / Link</t>
  </si>
  <si>
    <t>Notes / Limitation</t>
  </si>
  <si>
    <t>Phase 3 Implementation Evidence</t>
  </si>
  <si>
    <t>Evidence ID</t>
  </si>
  <si>
    <t>Application / Area</t>
  </si>
  <si>
    <t>Function / Feature</t>
  </si>
  <si>
    <t>Evidence Type</t>
  </si>
  <si>
    <t>Evidence / Link / File</t>
  </si>
  <si>
    <t>Related SRS Requirement</t>
  </si>
  <si>
    <t>Responsible Student</t>
  </si>
  <si>
    <t>Notes</t>
  </si>
  <si>
    <t>Phase 3 Challenges and Corrective Actions</t>
  </si>
  <si>
    <t>Date Identified</t>
  </si>
  <si>
    <t>Development / Integration Challenge</t>
  </si>
  <si>
    <t>Effect on Progress or Function</t>
  </si>
  <si>
    <t>Action Taken / Required</t>
  </si>
  <si>
    <t>Target Date</t>
  </si>
  <si>
    <t>Resolved Date</t>
  </si>
  <si>
    <t>Notes / Known Limitation</t>
  </si>
  <si>
    <t>Phase 3 Progress Summary</t>
  </si>
  <si>
    <t>Phase 3 Completion Checklist</t>
  </si>
  <si>
    <t>Complete?</t>
  </si>
  <si>
    <t>Shared Supabase backend implemented</t>
  </si>
  <si>
    <t>What was completed during Phase 3?</t>
  </si>
  <si>
    <t>Main Flutter functions working</t>
  </si>
  <si>
    <t>Which functions or processes remain incomplete?</t>
  </si>
  <si>
    <t>Main ASP.NET functions working</t>
  </si>
  <si>
    <t>What known limitations remain?</t>
  </si>
  <si>
    <t>At least two shared processes working</t>
  </si>
  <si>
    <t>Which contributions were particularly important?</t>
  </si>
  <si>
    <t>Integration progress recorded</t>
  </si>
  <si>
    <t>Were there participation concerns?</t>
  </si>
  <si>
    <t>Implementation evidence recorded</t>
  </si>
  <si>
    <t>Is the prototype ready for the final demonstration?</t>
  </si>
  <si>
    <t>SRS updated</t>
  </si>
  <si>
    <t>Main priority before final presentation</t>
  </si>
  <si>
    <t>Microsoft Project updated</t>
  </si>
  <si>
    <t>GitHub current</t>
  </si>
  <si>
    <t>Individual contributions recorded</t>
  </si>
  <si>
    <t>Challenges/actions updated</t>
  </si>
  <si>
    <t>Known limitations recorded</t>
  </si>
  <si>
    <t>Group reflection completed</t>
  </si>
  <si>
    <t>Final demonstration prepared</t>
  </si>
  <si>
    <t>Phase 3 Group Reflection</t>
  </si>
  <si>
    <t>1. What did the group complete successfully during development and implementation?</t>
  </si>
  <si>
    <t>2. Which development or integration challenges were the most difficult, and how were they addressed?</t>
  </si>
  <si>
    <t>3. How did the group ensure that Flutter and ASP.NET worked with the same Supabase backend?</t>
  </si>
  <si>
    <t>4. How was development work divided among group members, and was participation balanced?</t>
  </si>
  <si>
    <t>5. Which parts of the prototype are strongest, and which limitations remain?</t>
  </si>
  <si>
    <t>6. What did the group learn from developing and integrating the prototype?</t>
  </si>
  <si>
    <t>7. What would the group improve if the project continued beyond the final assessment?</t>
  </si>
  <si>
    <t>GROUP T</t>
  </si>
  <si>
    <t>CLICK COMPUTER AND ACCESSORIES</t>
  </si>
  <si>
    <t>Lesako M</t>
  </si>
  <si>
    <t>https://github.com/tmafunisa24-sudo/ITC327W-Project</t>
  </si>
  <si>
    <t>18 days</t>
  </si>
  <si>
    <t>Project Documentation</t>
  </si>
  <si>
    <t>Presentation Documentation</t>
  </si>
  <si>
    <t>Github activities/pull requests</t>
  </si>
  <si>
    <t>Project Documentation/Database link</t>
  </si>
  <si>
    <t>Project Web Applications</t>
  </si>
  <si>
    <t>Project Mobile Applications</t>
  </si>
  <si>
    <t>Database link, Project Mobile Applications, Project Web Applications</t>
  </si>
  <si>
    <t>Molefe sb</t>
  </si>
  <si>
    <t>Nosenga B</t>
  </si>
  <si>
    <t>Mafunisa T</t>
  </si>
  <si>
    <t>Taaibosch K, Ndlovu N</t>
  </si>
  <si>
    <t>Taaibosch K, Winkel k</t>
  </si>
  <si>
    <t>Hlalele D</t>
  </si>
  <si>
    <t>Lesenyeho lj</t>
  </si>
  <si>
    <t xml:space="preserve">Lesako M,Hlalele D,Lesenyeho lj,Mafunisa T,Molefe sb,Ndlovu N,Nosenga, Taaibosch K, Winkel k, Tladi K </t>
  </si>
  <si>
    <t>Molefe sb, Lesako M</t>
  </si>
  <si>
    <t>LESAKO M</t>
  </si>
  <si>
    <t>TLADI K</t>
  </si>
  <si>
    <t>NOSENGA B</t>
  </si>
  <si>
    <t>MAFUNISA T</t>
  </si>
  <si>
    <t>HLALELE D</t>
  </si>
  <si>
    <t>NDLOVU N</t>
  </si>
  <si>
    <t>TAAIBOSCH K</t>
  </si>
  <si>
    <t>MOLEFE B</t>
  </si>
  <si>
    <t>LJ LESENYEHO</t>
  </si>
  <si>
    <t>WINKEL K</t>
  </si>
  <si>
    <t>Update Microsoft Project and track Phase 3 progress.</t>
  </si>
  <si>
    <t>Design the database and supabase structure.</t>
  </si>
  <si>
    <t>Manage the project's design evidence and coordinate the phase 3 presentation.</t>
  </si>
  <si>
    <t>Coordinate the phase 3 presentation.</t>
  </si>
  <si>
    <t>Yes</t>
  </si>
  <si>
    <t>Connect Supabase to ASP.NET web application.</t>
  </si>
  <si>
    <t>Design mobile screens, functions, navigation and connect to Supabase.</t>
  </si>
  <si>
    <t>Implement web pages and navigations.</t>
  </si>
  <si>
    <t>Shared process 1</t>
  </si>
  <si>
    <t>Shared process 2</t>
  </si>
  <si>
    <t>Document implementation status, approved changes and limitations.</t>
  </si>
  <si>
    <t xml:space="preserve">Organise the phase 3 github structure; Upload web and mobile applications (ASP.NET and Flutter) and documentation; Ensure members commit their actual work; Track meaningful github commits;  Prepare evidence showing individual contributions; </t>
  </si>
  <si>
    <t xml:space="preserve">Help members prepare thier speaking sections. </t>
  </si>
  <si>
    <t>Use Visual code to create functions, screens and connect the application to the supabase.</t>
  </si>
  <si>
    <t>Use Visual studio to create functions and web pages with the C# and CSHtml programming language.</t>
  </si>
  <si>
    <t>Create/ update phase 3 tasks; track: start dates, finish dates, dependencies, Assigned members, progress, delays and completed tasks.</t>
  </si>
  <si>
    <t>Implement the database and ensure all related tables are connected through key variables.</t>
  </si>
  <si>
    <t>Collect documents; evaluate the status of the web and mobile application; review changes rendered on the applications and; render screenshot as evidence.</t>
  </si>
  <si>
    <t>Integrate the web application with the supabase application.</t>
  </si>
  <si>
    <t>Integrate the mobile application with the supabase application.</t>
  </si>
  <si>
    <t>Ensure information coming from the database is reflected and displayed onto the web application.</t>
  </si>
  <si>
    <t>Project documentation</t>
  </si>
  <si>
    <t>Web application</t>
  </si>
  <si>
    <t>Database link</t>
  </si>
  <si>
    <t>Web application and database link</t>
  </si>
  <si>
    <t>Mobile application and database link</t>
  </si>
  <si>
    <t>Mobile application</t>
  </si>
  <si>
    <t>none.</t>
  </si>
  <si>
    <t xml:space="preserve">Conflicts emerged amongst members due to work delay and lagging of time; A member was absent for two consecutive meetings to which raised concerns within the group; Finally, participation amongst the group was a minor issue as few do not assist in contributing. </t>
  </si>
  <si>
    <t>N/A</t>
  </si>
  <si>
    <t xml:space="preserve">The project manager's contribution was to ensure all members were available for crucial and urgent meetings when deemed necessary. When members lacked participation or remained absent, it is the project manager's reponsibility to contact, follow-up and enquire an update on each and every members' work; The responsibility of a Github manager contributed by ensuring all files uploaded onto the Github repository were managed, accurate and up-to-date. Members were assisted and informed to upload and identify thier own work onto the repository due to system monitorization; The system design and the prototype was most crucial as it required the collaboration of three members: The database and supbase design analyst, the technical analyst and intergration designer and the UML and process analyst to design, create and integrate the database system and mobile and web applications; Lastly, the responsibility of a stakeholder analyst is one of the most vital contribution to pahse 2. Gathering stakeholder feedback and re-evaluation could shift the entire prespective of the system design.  </t>
  </si>
  <si>
    <t>Yes.</t>
  </si>
  <si>
    <t>Make sure everyone is assigned for their role when presenting; Understand how the prototypes function (both ASP.NET and Flutter)</t>
  </si>
  <si>
    <t xml:space="preserve">Activity 3.1 -  Supabase - Required tables, fields, keys and relationships implemented; Activity 3.2 - Supabase - Authentication and access configured where required; Activity 3.3 - Flutter - Approved mobile screens and navigation implemented; Activity 3.4 - Flutter - Main mobile functions connected to Supabase; Activity 3.5 - ASP.NET - Approved web pages and navigation implemented; Activity 3.6 - ASP.NET - Main web functions connected to Supabase; Activity 3.7 -  Integration - Shared Process 1 working across the integrated system; Activity 3.8 -  Integration - Shared Process 2 working across the integrated system; Activity 3.9 -   Integration - Data fields and status values consistent across applications; Activity 3.10 - SRS - Implementation status, approved changes and known limitations updated; Activity 3.11 - Microsoft Project - Schedule updated to reflect actual development progress; Activity 3.12 - Github - Current source code, README and relevant documentation organised; Activity 3.13 - Final demonstration; </t>
  </si>
  <si>
    <t xml:space="preserve">Conflicts emerged amongst members due to work delay and lagging of time; participation amongst the group was a minor issue as few do not assist in contributing. </t>
  </si>
  <si>
    <t xml:space="preserve">1. Flutter Development: This area of development constitues the design and implementation of the mobile application to which is required for phase 3; 2. ASP.NET Development: This area of development constitiues the design and implementation of the web application to which is required for phase 3; 3. Supabase development: This area of development constitues the structure and design of the database to which is required for phase 3; 4. Integration This area of development constitues the shared process of connecting the web and mobile application along with the database into communicating as one systematic entity; 5. Gitub: This area of development manages all project designs, evidence, applications and members' participation within the group.  </t>
  </si>
  <si>
    <t>1. Authentication and access control; 2. Tickets - web and API; 3. Tickets - mobile &amp; API; 4. Assets; 5. Maintainance; 6. Departments, users &amp; admin; 7. Notifications, technicians &amp; service catalog; 8. Dashboards &amp; reports; 9. Supabase backend &amp; DevOps; 10. UI shell, documentations &amp; project records.</t>
  </si>
  <si>
    <t xml:space="preserve">1. Integration Challenge: registration credentials - information required to register from the web and mobile application was not stored and connected to the database. The issue was resolved - too many unnecessary required variables on the database were removed and the link to the database was renamed; 2. Development challenge: Flutter - users, admin and technician roles were not properly assigned thus creating wrong executions from different roles. The issue was resolved - appropriate tasks and executions were displayed depending on the role given for each accounts.   </t>
  </si>
  <si>
    <t>The supabase creates a back end table/storage file for both flutter (using the dart file extension) and ASP.NET (using the cs file extension) to connect and link to the external Supabase database. Configuring the app settings  and adding relevant addons for API to both applications ensures communication between the backend Supabase tables and the flutter and ASP.Net applications.</t>
  </si>
  <si>
    <t xml:space="preserve">Development work was divided according to group member roles. Despite consistent absenteesim and delayed meeting arrival, participation was evenly contributed. Group members reedem by informing the their current work to the project manager. </t>
  </si>
  <si>
    <t xml:space="preserve">Strongest part of the prototype: 1. Dashboard &amp; reports; 2. Maintenance; 3. Notifications. Limitations: None. </t>
  </si>
  <si>
    <t xml:space="preserve">1. Both the mobile and web application require an API to communicate with the database; 2. Different applications require different functionalities as they operate with different programming languages; 3.  designing and implementing an application rarely correlates with one another due to trials, errors and bugs changing the framework and structure of the initial design.  </t>
  </si>
  <si>
    <t>1. Improve on the security control and access against unauthorized access using the 2 factor verification.</t>
  </si>
  <si>
    <t xml:space="preserve">Appropriate tasks and executions were displayed depending on the role given for each accounts.   </t>
  </si>
  <si>
    <t>Integration Challenge: registration credentials - information required to register from the web and mobile application was not stored and connected to the database.</t>
  </si>
  <si>
    <t>Too many unnecessary required variables on the database were removed and the link to the database was renamed</t>
  </si>
  <si>
    <t xml:space="preserve">Development challenge: ASP.NET - Ticket tracking - monitoring the ticket system for each user's request created errors and complications while outputting the time and date of expiry and to which user was it allocated to. </t>
  </si>
  <si>
    <t>users registering to the system were unable to connect to the database thus hindering them from creating an account.</t>
  </si>
  <si>
    <t xml:space="preserve">Development challenge: Flutter - users, admin and technician roles were not properly assigned thus creating wrong executions for different roles. </t>
  </si>
  <si>
    <t xml:space="preserve">Users will execute confidential information assigned only for the administrator and technicians will not gain access to maintenance.  </t>
  </si>
  <si>
    <t xml:space="preserve">Used a unique identifier that will allocate the ticket to the rightful user. Creating a countdown system for every ticket issued resolved the issue. </t>
  </si>
  <si>
    <t xml:space="preserve">The time and date of the ticket expiry were false and an error message was displayed to which entails an unidentified resource variable. </t>
  </si>
  <si>
    <t xml:space="preserve">Development challenge: ASP.NET - Maintenance records ommitted - Records for repair which are submitted by the client do not appear on the maintenance web page. </t>
  </si>
  <si>
    <t>Request for customer repairs are stored on the database but do not show on the web page.</t>
  </si>
  <si>
    <t>Identified the variables at the front-end code references the variables at the back-end.</t>
  </si>
  <si>
    <t xml:space="preserve">Development challenge: Flutter - Notification state remains unchanged. </t>
  </si>
  <si>
    <t>When a notification was read by a administrator, Its state remains unchanged therefore unread.</t>
  </si>
  <si>
    <t>When a notification has been read, a command statement from the mobile application must alert the database then the state of notification must be changed from unread to read.</t>
  </si>
  <si>
    <t xml:space="preserve">Development challenge: Flutter - Shared layout is not responsive to all mobile devices. </t>
  </si>
  <si>
    <t>The design layout across all mobile pages do not respond in accordance to the size of the mobile devices.</t>
  </si>
  <si>
    <t>Ensure all elements and design layout of all mobile pages are responsive to all sizes of all mobile devices.</t>
  </si>
  <si>
    <t xml:space="preserve">Development challenge: ASP.NET - Error on report print-out. </t>
  </si>
  <si>
    <t>The web application is unable to display the printing configuration/settings before printing the report.</t>
  </si>
  <si>
    <t>Created an addon on the report page in order to display the printing setting before printing the report.</t>
  </si>
  <si>
    <t xml:space="preserve">Development challenge: ASP.NET - Dashboard metrics does not align with the information stored on the database. </t>
  </si>
  <si>
    <t>Fasle information displayed on both the web and mobile application due to incorrect arthimetical calculation at the back-end code..</t>
  </si>
  <si>
    <t>Modified the calculation at the back-end code to display the correct metrics so it corresponds with the information stored on the database.</t>
  </si>
  <si>
    <t xml:space="preserve">Development challenge: Supabase- Employee enquiries and self-help requests are not clearly specified. </t>
  </si>
  <si>
    <t>Employee enquiries and self-help desk requests are viewed as similar variables and not catergorized within the database.</t>
  </si>
  <si>
    <t>Split the variables into two fields within the table to categorize the enquiries and the self-help desk requests.</t>
  </si>
  <si>
    <t xml:space="preserve">Development challenge: Github - Documents not properly organized </t>
  </si>
  <si>
    <t xml:space="preserve">The asset management codes within the Github repository were misplaced in the wrong directory. </t>
  </si>
  <si>
    <t>Remove the previous codes from the asset management and push/upload the revelant codes within the correct directory.</t>
  </si>
  <si>
    <t xml:space="preserve">Authentication &amp; Access control </t>
  </si>
  <si>
    <t>Login and role-based landing on mobile and web.</t>
  </si>
  <si>
    <t>Client creates a ticket on mobile</t>
  </si>
  <si>
    <t xml:space="preserve">Notification triggered and shown. </t>
  </si>
  <si>
    <t>Role dashboards and report export</t>
  </si>
  <si>
    <t>Maintenance records create/update</t>
  </si>
  <si>
    <t xml:space="preserve">Asset list/details on web and mobile </t>
  </si>
  <si>
    <t>Departments and users management</t>
  </si>
  <si>
    <t>Supabase tables, relationship; roles of Flutter, ASP.NET and Supabase</t>
  </si>
  <si>
    <t>Ticket appears in web admin/technician queue</t>
  </si>
  <si>
    <t>Supabase backend &amp; DevOps</t>
  </si>
  <si>
    <t>Maintenance</t>
  </si>
  <si>
    <t>Assets</t>
  </si>
  <si>
    <t>Dashboard and reports</t>
  </si>
  <si>
    <t>Notifications, technician &amp; service catalog</t>
  </si>
  <si>
    <t>Tickets - mobile and API</t>
  </si>
  <si>
    <t>Departments, users &amp; admin</t>
  </si>
  <si>
    <t>Tickets - web and API</t>
  </si>
  <si>
    <t>Github Branch Name: "feature/"</t>
  </si>
  <si>
    <t>AuthController, AuthApiController, Views/Auth/*, StatusAuthorizationFilter, RoleDashboardRoute, auth DTOs</t>
  </si>
  <si>
    <t>ImageStorageService, Services/Ai/TicketPredictionModel, TicketAttachment/TicketPrediction models</t>
  </si>
  <si>
    <t>Notifications controller/API/service/model/views, TechnicianController + views, technician DTOs, ServiceCatalogApiController</t>
  </si>
  <si>
    <t>DashboardController, ReportsController, their APIs/services, dashboard &amp; report views and DTOs</t>
  </si>
  <si>
    <t>MaintenanceController, MaintenanceApiController, maintenance models/DTOs, Views/Maintenance/*</t>
  </si>
  <si>
    <t>Both AssetsControllers, AssetsApiController, AssetService, PdfProcessingService, asset models, Views/Assets + Views/Admin/Assets</t>
  </si>
  <si>
    <t>DepartmentsController (both), DerpartmentsApiController, UsersApiController, AdminController, Views/Admin/*, Views/Departments/*</t>
  </si>
  <si>
    <t>UI shell, docs &amp; project records</t>
  </si>
  <si>
    <t>_Layout.cshtml, site.css/js, Home/KnowledgeBase/Employee views + controllers</t>
  </si>
  <si>
    <t>TicketsController, HelpDeskController, TicketsApiController, TicketService, ticket models/DTOs, Views/Tickets/*, Views/HelpDesk/*, tickets.css, Payment</t>
  </si>
  <si>
    <t>NEW: supabase/schema.sql, RLS policies, seed.sql, bucket setup. Existing: Program.cs, SupabaseService, ISupabaseService, BaseRepository, RequestLoggingMiddleware, SupabaseSettings, AppConstants</t>
  </si>
  <si>
    <t>views/auth, auth api/service/viewmodel, core/network/*, profile_view</t>
  </si>
  <si>
    <t>views/notification, notification_bell, technician_home_view, service catalog files</t>
  </si>
  <si>
    <t>core/design/*, app.dart, routes/app_router, shell_scaffold, main.dart</t>
  </si>
  <si>
    <t>core/config/env.dart</t>
  </si>
  <si>
    <t>home_view, client_home_view, dashboard_widgets, report_view, dashboard/report api/service/viewmodel</t>
  </si>
  <si>
    <t>views/maintenance/*, maintenance api/service/viewmodel/models</t>
  </si>
  <si>
    <t>views/tickets/*, ticket api/service/viewmodel, create_ticket_viewmodel, ticket models/DTOs, payment DTO</t>
  </si>
  <si>
    <t>views/assets/*, asset api/service/viewmodel/models</t>
  </si>
  <si>
    <t>(none - mobile side is Member 2)</t>
  </si>
  <si>
    <t>views/departments, views/users, admin_home_view, department/user api/service/viewmodel</t>
  </si>
  <si>
    <t>username, password</t>
  </si>
  <si>
    <t>Notifications</t>
  </si>
  <si>
    <t>Employee information</t>
  </si>
  <si>
    <t>Report, client details, files and documentation.</t>
  </si>
  <si>
    <t>Client details, ticket details</t>
  </si>
  <si>
    <t xml:space="preserve">product, model and asset details </t>
  </si>
  <si>
    <t>assest details</t>
  </si>
  <si>
    <t>Department, user and admin names</t>
  </si>
  <si>
    <t>Database tables</t>
  </si>
  <si>
    <t>Github Branch Name: "feature/mpho-lesako-auth"</t>
  </si>
  <si>
    <t>Github Branch Name: "feature/ntando-ndlovu-tickets"</t>
  </si>
  <si>
    <t>Github Branch Name: "feature/keletso-tladi-departments-maintenance"</t>
  </si>
  <si>
    <t>Github Branch Name: "feature/kamogelo-taaibosch-dashboards"</t>
  </si>
  <si>
    <t xml:space="preserve">WINKEL K  </t>
  </si>
  <si>
    <t xml:space="preserve">TAAIBOSCH K </t>
  </si>
  <si>
    <t>Github Branch Name: "feature/liteboho-lesenyeho-admin"</t>
  </si>
  <si>
    <t>Github Branch Name: "feature/blessing-molefe-notifications-knowledge"</t>
  </si>
  <si>
    <t xml:space="preserve"> LJ LESENYEHO</t>
  </si>
  <si>
    <t>Github Branch Name: "feature/godfrey-nosenga-interface"</t>
  </si>
  <si>
    <t>MAFUNISA  T</t>
  </si>
  <si>
    <t xml:space="preserve"> MOLEFE B</t>
  </si>
  <si>
    <t>Github Branch Name: "feature/katlego-winkel-assets"</t>
  </si>
  <si>
    <t>Github Branch Name: "feature/dineo-hlalele-helpdesk" and " feature/godfrey-nosenga-interface"</t>
  </si>
  <si>
    <t xml:space="preserve"> HLALELE D &amp; NOSENGA B</t>
  </si>
  <si>
    <t>Supabase Evidence</t>
  </si>
  <si>
    <t>SRS Section</t>
  </si>
  <si>
    <t>GitHub Commit/PR</t>
  </si>
  <si>
    <t>Screenshot</t>
  </si>
  <si>
    <t>Shared Process 1 - Web, Supabase and API</t>
  </si>
  <si>
    <t>Shared Process 2 - Mobile, Supabase and API</t>
  </si>
  <si>
    <t xml:space="preserve">Web application </t>
  </si>
  <si>
    <t>Project schedule, member Resources</t>
  </si>
  <si>
    <t>External Database Storage</t>
  </si>
  <si>
    <t>https://github.com/tmafunisa24-sudo/ITC327W-Project/mobile</t>
  </si>
  <si>
    <t>https://github.com/tmafunisa24-sudo/ITC327W-Project/web</t>
  </si>
  <si>
    <t>https://qcfniphdrgoonaviatwn.supabase.co</t>
  </si>
  <si>
    <t>https://github.com/tmafunisa24-sudo/ITC327W-Project/project_management/MICROSOFT PROJECT</t>
  </si>
  <si>
    <t>https://github.com/tmafunisa24-sudo/ITC327W-Project/Technical_Submission_Click_Computer_and_Accessories</t>
  </si>
  <si>
    <t>Manage github repository</t>
  </si>
  <si>
    <t>Finalize research and documentation for presentation.</t>
  </si>
  <si>
    <t>https://github.com/tmafunisa24-sudo/ITC327W-Project/docs</t>
  </si>
  <si>
    <t xml:space="preserve">NDLOVU N </t>
  </si>
  <si>
    <t xml:space="preserve">WINKEL K, HLALELE D </t>
  </si>
  <si>
    <t>System requires a database to store in information.</t>
  </si>
  <si>
    <t>System requires a mobile interface.</t>
  </si>
  <si>
    <t>System requires a web interface.</t>
  </si>
  <si>
    <t>Mobile interface must connect and communicate with the database.</t>
  </si>
  <si>
    <t>Web interface must connect and communicate with the database.</t>
  </si>
  <si>
    <t xml:space="preserve">SRS is created to review the overall description of the software </t>
  </si>
  <si>
    <t>Microsoft Project is required to outline the tasks and duration of the project.</t>
  </si>
  <si>
    <t>Gitub repository is created to manage files of the project.</t>
  </si>
  <si>
    <t>Findings are used to presenting the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</si>
</sst>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name val="Carlito"/>
    </font>
    <font>
      <b/>
      <sz val="15"/>
      <color rgb="FFFFFFFF"/>
      <name val="Carlito"/>
    </font>
    <font>
      <b/>
      <sz val="11"/>
      <color rgb="FFFFFFFF"/>
      <name val="Carlito"/>
    </font>
    <font>
      <b/>
      <sz val="11"/>
      <name val="Carlito"/>
    </font>
    <font>
      <u/>
      <sz val="11"/>
      <color theme="10"/>
      <name val="Carlito"/>
    </font>
  </fonts>
  <fills count="7">
    <fill>
      <patternFill patternType="none"/>
    </fill>
    <fill>
      <patternFill patternType="gray125"/>
    </fill>
    <fill>
      <patternFill patternType="solid">
        <fgColor rgb="FF17365D"/>
      </patternFill>
    </fill>
    <fill>
      <patternFill patternType="solid">
        <fgColor rgb="FFF3F6FA"/>
      </patternFill>
    </fill>
    <fill>
      <patternFill patternType="solid">
        <fgColor rgb="FFD9EAF7"/>
      </patternFill>
    </fill>
    <fill>
      <patternFill patternType="solid">
        <fgColor rgb="FFFFF2CC"/>
      </patternFill>
    </fill>
    <fill>
      <patternFill patternType="solid">
        <fgColor rgb="FFE2F0D9"/>
      </patternFill>
    </fill>
  </fills>
  <borders count="2">
    <border>
      <left/>
      <right/>
      <top/>
      <bottom/>
      <diagonal/>
    </border>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2"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3" fillId="4" borderId="0" xfId="0" applyNumberFormat="1" applyFont="1" applyFill="1" applyBorder="1"/>
    <xf numFmtId="0" fontId="3" fillId="4" borderId="0" xfId="0" applyNumberFormat="1" applyFont="1" applyFill="1" applyBorder="1" applyAlignment="1">
      <alignment wrapText="1"/>
    </xf>
    <xf numFmtId="0" fontId="0" fillId="5" borderId="0" xfId="0" applyNumberFormat="1" applyFont="1" applyFill="1" applyBorder="1" applyAlignment="1">
      <alignment vertical="top" wrapText="1"/>
    </xf>
    <xf numFmtId="0" fontId="0" fillId="5" borderId="1" xfId="0" applyNumberFormat="1" applyFont="1" applyFill="1" applyBorder="1" applyAlignment="1">
      <alignment vertical="top" wrapText="1"/>
    </xf>
    <xf numFmtId="0" fontId="3" fillId="6" borderId="0" xfId="0" applyNumberFormat="1" applyFont="1" applyFill="1" applyBorder="1" applyAlignment="1">
      <alignment horizontal="center"/>
    </xf>
    <xf numFmtId="9" fontId="3" fillId="6" borderId="0" xfId="0" applyNumberFormat="1" applyFont="1" applyFill="1" applyBorder="1" applyAlignment="1">
      <alignment horizontal="center"/>
    </xf>
    <xf numFmtId="9" fontId="0" fillId="5" borderId="0" xfId="0" applyNumberFormat="1" applyFont="1" applyFill="1" applyBorder="1" applyAlignment="1">
      <alignment vertical="top" wrapText="1"/>
    </xf>
    <xf numFmtId="0" fontId="0" fillId="5" borderId="0" xfId="0" applyNumberFormat="1" applyFont="1" applyFill="1" applyBorder="1" applyAlignment="1">
      <alignment vertical="top" wrapText="1"/>
    </xf>
    <xf numFmtId="14" fontId="0" fillId="5" borderId="1" xfId="0" applyNumberFormat="1" applyFont="1" applyFill="1" applyBorder="1" applyAlignment="1">
      <alignment vertical="top" wrapText="1"/>
    </xf>
    <xf numFmtId="0" fontId="0" fillId="5" borderId="0" xfId="0" applyNumberFormat="1" applyFont="1" applyFill="1" applyBorder="1" applyAlignment="1">
      <alignment vertical="top" wrapText="1"/>
    </xf>
    <xf numFmtId="14" fontId="0" fillId="5" borderId="0" xfId="0" applyNumberFormat="1" applyFont="1" applyFill="1" applyBorder="1" applyAlignment="1">
      <alignment vertical="top" wrapText="1"/>
    </xf>
    <xf numFmtId="0" fontId="0" fillId="5" borderId="0" xfId="0" applyNumberFormat="1" applyFont="1" applyFill="1" applyBorder="1" applyAlignment="1">
      <alignment vertical="top" wrapText="1"/>
    </xf>
    <xf numFmtId="0" fontId="0" fillId="5" borderId="1" xfId="0" applyNumberFormat="1" applyFont="1" applyFill="1" applyBorder="1" applyAlignment="1">
      <alignment vertical="top" wrapText="1"/>
    </xf>
    <xf numFmtId="0" fontId="1" fillId="2" borderId="0" xfId="0" applyNumberFormat="1" applyFont="1" applyFill="1" applyBorder="1" applyAlignment="1">
      <alignment horizontal="center" vertical="center"/>
    </xf>
    <xf numFmtId="0" fontId="0" fillId="3" borderId="0" xfId="0" applyNumberFormat="1" applyFont="1" applyFill="1" applyBorder="1" applyAlignment="1">
      <alignment wrapText="1"/>
    </xf>
    <xf numFmtId="0" fontId="2" fillId="2" borderId="0" xfId="0" applyNumberFormat="1" applyFont="1" applyFill="1" applyBorder="1"/>
    <xf numFmtId="0" fontId="0" fillId="3" borderId="0" xfId="0" applyNumberFormat="1" applyFont="1" applyFill="1" applyBorder="1" applyAlignment="1">
      <alignment vertical="top" wrapText="1"/>
    </xf>
    <xf numFmtId="0" fontId="2" fillId="2" borderId="0" xfId="0" applyNumberFormat="1" applyFont="1" applyFill="1" applyBorder="1" applyAlignment="1">
      <alignment horizontal="center"/>
    </xf>
    <xf numFmtId="0" fontId="0" fillId="5" borderId="0" xfId="0" applyNumberFormat="1" applyFont="1" applyFill="1" applyBorder="1" applyAlignment="1">
      <alignment vertical="top" wrapText="1"/>
    </xf>
    <xf numFmtId="0" fontId="0" fillId="5" borderId="1" xfId="0" applyNumberFormat="1" applyFont="1" applyFill="1" applyBorder="1" applyAlignment="1">
      <alignment vertical="top" wrapText="1"/>
    </xf>
    <xf numFmtId="0" fontId="3" fillId="4" borderId="0" xfId="0" applyNumberFormat="1" applyFont="1" applyFill="1" applyBorder="1" applyAlignment="1">
      <alignment wrapText="1"/>
    </xf>
    <xf numFmtId="0" fontId="4" fillId="5" borderId="1" xfId="1" applyNumberFormat="1" applyFill="1" applyBorder="1" applyAlignment="1">
      <alignment vertical="top" wrapText="1"/>
    </xf>
    <xf numFmtId="0" fontId="4" fillId="5" borderId="0" xfId="1" applyNumberFormat="1" applyFill="1" applyBorder="1" applyAlignment="1">
      <alignment vertical="top" wrapText="1"/>
    </xf>
  </cellXfs>
  <cellStyles count="2">
    <cellStyle name="Hyperlink" xfId="1" builtinId="8"/>
    <cellStyle name="Normal" xfId="0" builtinId="0"/>
  </cellStyles>
  <dxfs count="7">
    <dxf>
      <fill>
        <patternFill patternType="solid">
          <bgColor rgb="FFF4CCCC"/>
        </patternFill>
      </fill>
    </dxf>
    <dxf>
      <fill>
        <patternFill patternType="solid">
          <bgColor rgb="FFE2F0D9"/>
        </patternFill>
      </fill>
    </dxf>
    <dxf>
      <fill>
        <patternFill patternType="solid">
          <bgColor rgb="FFF4CCCC"/>
        </patternFill>
      </fill>
    </dxf>
    <dxf>
      <fill>
        <patternFill patternType="solid">
          <bgColor rgb="FFE2F0D9"/>
        </patternFill>
      </fill>
    </dxf>
    <dxf>
      <fill>
        <patternFill patternType="solid">
          <bgColor rgb="FFE2F0D9"/>
        </patternFill>
      </fill>
    </dxf>
    <dxf>
      <fill>
        <patternFill patternType="solid">
          <bgColor rgb="FFF4CC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tmafunisa24-sudo/ITC327W-Projec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tmafunisa24-sudo/ITC327W-Project/docs" TargetMode="External"/><Relationship Id="rId3" Type="http://schemas.openxmlformats.org/officeDocument/2006/relationships/hyperlink" Target="https://qcfniphdrgoonaviatwn.supabase.co/" TargetMode="External"/><Relationship Id="rId7" Type="http://schemas.openxmlformats.org/officeDocument/2006/relationships/hyperlink" Target="https://github.com/tmafunisa24-sudo/ITC327W-Project/Technical_Submission_Click_Computer_and_Accessories" TargetMode="External"/><Relationship Id="rId2" Type="http://schemas.openxmlformats.org/officeDocument/2006/relationships/hyperlink" Target="https://github.com/tmafunisa24-sudo/ITC327W-Project/web" TargetMode="External"/><Relationship Id="rId1" Type="http://schemas.openxmlformats.org/officeDocument/2006/relationships/hyperlink" Target="https://github.com/tmafunisa24-sudo/ITC327W-Project/mobile" TargetMode="External"/><Relationship Id="rId6" Type="http://schemas.openxmlformats.org/officeDocument/2006/relationships/hyperlink" Target="https://github.com/tmafunisa24-sudo/ITC327W-Project" TargetMode="External"/><Relationship Id="rId5" Type="http://schemas.openxmlformats.org/officeDocument/2006/relationships/hyperlink" Target="https://github.com/tmafunisa24-sudo/ITC327W-Project/project_management/MICROSOFT%20PROJECT" TargetMode="External"/><Relationship Id="rId4" Type="http://schemas.openxmlformats.org/officeDocument/2006/relationships/hyperlink" Target="https://github.com/tmafunisa24-sudo/ITC327W-Project/mobi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selection sqref="A1:F1"/>
    </sheetView>
  </sheetViews>
  <sheetFormatPr defaultRowHeight="14.25"/>
  <cols>
    <col min="1" max="1" width="26" customWidth="1"/>
    <col min="2" max="2" width="42" customWidth="1"/>
    <col min="3" max="3" width="52" customWidth="1"/>
    <col min="4" max="6" width="14" customWidth="1"/>
  </cols>
  <sheetData>
    <row r="1" spans="1:6" ht="33.950000000000003" customHeight="1">
      <c r="A1" s="16" t="s">
        <v>0</v>
      </c>
      <c r="B1" s="16"/>
      <c r="C1" s="16"/>
      <c r="D1" s="16"/>
      <c r="E1" s="16"/>
      <c r="F1" s="16"/>
    </row>
    <row r="2" spans="1:6" ht="33.950000000000003" customHeight="1">
      <c r="A2" s="17" t="s">
        <v>1</v>
      </c>
      <c r="B2" s="17"/>
      <c r="C2" s="17"/>
      <c r="D2" s="17"/>
      <c r="E2" s="17"/>
      <c r="F2" s="17"/>
    </row>
    <row r="4" spans="1:6" ht="30" customHeight="1">
      <c r="A4" s="1" t="s">
        <v>2</v>
      </c>
      <c r="B4" s="1" t="s">
        <v>3</v>
      </c>
      <c r="C4" s="1" t="s">
        <v>4</v>
      </c>
    </row>
    <row r="5" spans="1:6" ht="42" customHeight="1">
      <c r="A5" s="2" t="s">
        <v>5</v>
      </c>
      <c r="B5" s="2" t="s">
        <v>6</v>
      </c>
      <c r="C5" s="2" t="s">
        <v>7</v>
      </c>
    </row>
    <row r="6" spans="1:6" ht="42" customHeight="1">
      <c r="A6" s="2" t="s">
        <v>8</v>
      </c>
      <c r="B6" s="2" t="s">
        <v>9</v>
      </c>
      <c r="C6" s="2" t="s">
        <v>10</v>
      </c>
    </row>
    <row r="7" spans="1:6" ht="42" customHeight="1">
      <c r="A7" s="2" t="s">
        <v>11</v>
      </c>
      <c r="B7" s="2" t="s">
        <v>12</v>
      </c>
      <c r="C7" s="2" t="s">
        <v>13</v>
      </c>
    </row>
    <row r="8" spans="1:6" ht="42" customHeight="1">
      <c r="A8" s="2" t="s">
        <v>14</v>
      </c>
      <c r="B8" s="2" t="s">
        <v>15</v>
      </c>
      <c r="C8" s="2" t="s">
        <v>16</v>
      </c>
    </row>
    <row r="9" spans="1:6" ht="42" customHeight="1">
      <c r="A9" s="2" t="s">
        <v>17</v>
      </c>
      <c r="B9" s="2" t="s">
        <v>18</v>
      </c>
      <c r="C9" s="2" t="s">
        <v>19</v>
      </c>
    </row>
    <row r="10" spans="1:6" ht="42" customHeight="1">
      <c r="A10" s="2" t="s">
        <v>20</v>
      </c>
      <c r="B10" s="2" t="s">
        <v>21</v>
      </c>
      <c r="C10" s="2" t="s">
        <v>22</v>
      </c>
    </row>
    <row r="11" spans="1:6" ht="42" customHeight="1">
      <c r="A11" s="2" t="s">
        <v>23</v>
      </c>
      <c r="B11" s="2" t="s">
        <v>24</v>
      </c>
      <c r="C11" s="2" t="s">
        <v>25</v>
      </c>
    </row>
    <row r="12" spans="1:6" ht="42" customHeight="1">
      <c r="A12" s="2" t="s">
        <v>26</v>
      </c>
      <c r="B12" s="2" t="s">
        <v>27</v>
      </c>
      <c r="C12" s="2" t="s">
        <v>28</v>
      </c>
    </row>
    <row r="14" spans="1:6" ht="15">
      <c r="A14" s="18" t="s">
        <v>29</v>
      </c>
      <c r="B14" s="18"/>
      <c r="C14" s="18"/>
      <c r="D14" s="18"/>
      <c r="E14" s="18"/>
      <c r="F14" s="18"/>
    </row>
    <row r="15" spans="1:6">
      <c r="A15" s="19" t="s">
        <v>30</v>
      </c>
      <c r="B15" s="19"/>
      <c r="C15" s="19"/>
      <c r="D15" s="19"/>
      <c r="E15" s="19"/>
      <c r="F15" s="19"/>
    </row>
    <row r="16" spans="1:6">
      <c r="A16" s="19"/>
      <c r="B16" s="19"/>
      <c r="C16" s="19"/>
      <c r="D16" s="19"/>
      <c r="E16" s="19"/>
      <c r="F16" s="19"/>
    </row>
    <row r="17" spans="1:6">
      <c r="A17" s="19"/>
      <c r="B17" s="19"/>
      <c r="C17" s="19"/>
      <c r="D17" s="19"/>
      <c r="E17" s="19"/>
      <c r="F17" s="19"/>
    </row>
    <row r="18" spans="1:6">
      <c r="A18" s="19"/>
      <c r="B18" s="19"/>
      <c r="C18" s="19"/>
      <c r="D18" s="19"/>
      <c r="E18" s="19"/>
      <c r="F18" s="19"/>
    </row>
    <row r="19" spans="1:6">
      <c r="A19" s="19"/>
      <c r="B19" s="19"/>
      <c r="C19" s="19"/>
      <c r="D19" s="19"/>
      <c r="E19" s="19"/>
      <c r="F19" s="19"/>
    </row>
  </sheetData>
  <mergeCells count="4">
    <mergeCell ref="A1:F1"/>
    <mergeCell ref="A2:F2"/>
    <mergeCell ref="A14:F14"/>
    <mergeCell ref="A15:F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election activeCell="B8" sqref="B8"/>
    </sheetView>
  </sheetViews>
  <sheetFormatPr defaultRowHeight="14.25"/>
  <cols>
    <col min="1" max="1" width="27" customWidth="1"/>
    <col min="2" max="2" width="38" customWidth="1"/>
    <col min="3" max="3" width="4" customWidth="1"/>
    <col min="4" max="4" width="25" customWidth="1"/>
    <col min="5" max="5" width="18" customWidth="1"/>
    <col min="6" max="8" width="16" customWidth="1"/>
  </cols>
  <sheetData>
    <row r="1" spans="1:8" ht="33.950000000000003" customHeight="1">
      <c r="A1" s="16" t="s">
        <v>31</v>
      </c>
      <c r="B1" s="16"/>
      <c r="C1" s="16"/>
      <c r="D1" s="16"/>
      <c r="E1" s="16"/>
      <c r="F1" s="16"/>
      <c r="G1" s="16"/>
      <c r="H1" s="16"/>
    </row>
    <row r="3" spans="1:8" ht="15">
      <c r="A3" s="4" t="s">
        <v>32</v>
      </c>
      <c r="B3" s="5" t="s">
        <v>164</v>
      </c>
      <c r="D3" s="20" t="s">
        <v>33</v>
      </c>
      <c r="E3" s="20"/>
      <c r="F3" s="20"/>
      <c r="G3" s="20"/>
      <c r="H3" s="20"/>
    </row>
    <row r="4" spans="1:8" ht="15">
      <c r="A4" s="4" t="s">
        <v>34</v>
      </c>
      <c r="B4" s="5" t="s">
        <v>165</v>
      </c>
      <c r="D4" s="3" t="s">
        <v>35</v>
      </c>
      <c r="E4" s="7">
        <f>COUNTA('Development Progress'!A4:A33)</f>
        <v>13</v>
      </c>
    </row>
    <row r="5" spans="1:8" ht="15">
      <c r="A5" s="4" t="s">
        <v>36</v>
      </c>
      <c r="B5" s="6" t="s">
        <v>165</v>
      </c>
      <c r="D5" s="3" t="s">
        <v>37</v>
      </c>
      <c r="E5" s="7">
        <f>COUNTIF('Development Progress'!G4:G33,"Completed")</f>
        <v>13</v>
      </c>
    </row>
    <row r="6" spans="1:8" ht="15">
      <c r="A6" s="4" t="s">
        <v>38</v>
      </c>
      <c r="B6" s="6" t="s">
        <v>166</v>
      </c>
      <c r="D6" s="3" t="s">
        <v>39</v>
      </c>
      <c r="E6" s="7">
        <f>COUNTIF('Development Progress'!G4:G33,"In Progress")</f>
        <v>0</v>
      </c>
    </row>
    <row r="7" spans="1:8" ht="15">
      <c r="A7" s="4" t="s">
        <v>40</v>
      </c>
      <c r="B7" s="6">
        <v>10</v>
      </c>
      <c r="D7" s="3" t="s">
        <v>41</v>
      </c>
      <c r="E7" s="7">
        <f>COUNTIF('Development Progress'!G4:G33,"Blocked")</f>
        <v>0</v>
      </c>
    </row>
    <row r="8" spans="1:8" ht="28.5">
      <c r="A8" s="4" t="s">
        <v>42</v>
      </c>
      <c r="B8" s="24" t="s">
        <v>167</v>
      </c>
      <c r="D8" s="3" t="s">
        <v>43</v>
      </c>
      <c r="E8" s="8">
        <f>IFERROR(AVERAGE('Development Progress'!H4:H33),0)</f>
        <v>1</v>
      </c>
    </row>
    <row r="9" spans="1:8" ht="15">
      <c r="A9" s="4" t="s">
        <v>44</v>
      </c>
      <c r="B9" s="5" t="s">
        <v>168</v>
      </c>
    </row>
    <row r="10" spans="1:8" ht="15">
      <c r="A10" s="4" t="s">
        <v>45</v>
      </c>
      <c r="B10" s="5" t="s">
        <v>37</v>
      </c>
      <c r="D10" s="18" t="s">
        <v>47</v>
      </c>
      <c r="E10" s="18"/>
      <c r="F10" s="18"/>
      <c r="G10" s="18"/>
      <c r="H10" s="18"/>
    </row>
    <row r="11" spans="1:8">
      <c r="D11" s="19" t="s">
        <v>48</v>
      </c>
      <c r="E11" s="19"/>
      <c r="F11" s="19"/>
      <c r="G11" s="19"/>
      <c r="H11" s="19"/>
    </row>
    <row r="12" spans="1:8">
      <c r="D12" s="19"/>
      <c r="E12" s="19"/>
      <c r="F12" s="19"/>
      <c r="G12" s="19"/>
      <c r="H12" s="19"/>
    </row>
    <row r="13" spans="1:8">
      <c r="D13" s="19"/>
      <c r="E13" s="19"/>
      <c r="F13" s="19"/>
      <c r="G13" s="19"/>
      <c r="H13" s="19"/>
    </row>
    <row r="14" spans="1:8">
      <c r="D14" s="19"/>
      <c r="E14" s="19"/>
      <c r="F14" s="19"/>
      <c r="G14" s="19"/>
      <c r="H14" s="19"/>
    </row>
    <row r="15" spans="1:8">
      <c r="D15" s="19"/>
      <c r="E15" s="19"/>
      <c r="F15" s="19"/>
      <c r="G15" s="19"/>
      <c r="H15" s="19"/>
    </row>
  </sheetData>
  <mergeCells count="4">
    <mergeCell ref="A1:H1"/>
    <mergeCell ref="D3:H3"/>
    <mergeCell ref="D10:H10"/>
    <mergeCell ref="D11:H15"/>
  </mergeCells>
  <dataValidations count="1">
    <dataValidation type="list" sqref="B10">
      <formula1>"Not Started,In Progress,Completed,Blocked"</formula1>
    </dataValidation>
  </dataValidations>
  <hyperlinks>
    <hyperlink ref="B8"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topLeftCell="A7" workbookViewId="0">
      <selection activeCell="A16" sqref="A16"/>
    </sheetView>
  </sheetViews>
  <sheetFormatPr defaultRowHeight="14.25"/>
  <cols>
    <col min="1" max="1" width="11" customWidth="1"/>
    <col min="2" max="2" width="22" customWidth="1"/>
    <col min="3" max="3" width="46" customWidth="1"/>
    <col min="4" max="4" width="25" customWidth="1"/>
    <col min="5" max="7" width="15" customWidth="1"/>
    <col min="8" max="8" width="12" customWidth="1"/>
    <col min="9" max="9" width="35" customWidth="1"/>
    <col min="10" max="10" width="34" customWidth="1"/>
  </cols>
  <sheetData>
    <row r="1" spans="1:10" ht="33.950000000000003" customHeight="1">
      <c r="A1" s="16" t="s">
        <v>49</v>
      </c>
      <c r="B1" s="16"/>
      <c r="C1" s="16"/>
      <c r="D1" s="16"/>
      <c r="E1" s="16"/>
      <c r="F1" s="16"/>
      <c r="G1" s="16"/>
      <c r="H1" s="16"/>
      <c r="I1" s="16"/>
      <c r="J1" s="16"/>
    </row>
    <row r="3" spans="1:10" ht="30" customHeight="1">
      <c r="A3" s="1" t="s">
        <v>50</v>
      </c>
      <c r="B3" s="1" t="s">
        <v>51</v>
      </c>
      <c r="C3" s="1" t="s">
        <v>52</v>
      </c>
      <c r="D3" s="1" t="s">
        <v>53</v>
      </c>
      <c r="E3" s="1" t="s">
        <v>54</v>
      </c>
      <c r="F3" s="1" t="s">
        <v>55</v>
      </c>
      <c r="G3" s="1" t="s">
        <v>56</v>
      </c>
      <c r="H3" s="1" t="s">
        <v>57</v>
      </c>
      <c r="I3" s="1" t="s">
        <v>58</v>
      </c>
      <c r="J3" s="1" t="s">
        <v>59</v>
      </c>
    </row>
    <row r="4" spans="1:10" ht="28.5">
      <c r="A4" s="2" t="s">
        <v>60</v>
      </c>
      <c r="B4" s="2" t="s">
        <v>61</v>
      </c>
      <c r="C4" s="2" t="s">
        <v>62</v>
      </c>
      <c r="D4" s="5" t="s">
        <v>184</v>
      </c>
      <c r="E4" s="11">
        <v>46311</v>
      </c>
      <c r="F4" s="6" t="s">
        <v>37</v>
      </c>
      <c r="G4" s="5" t="s">
        <v>37</v>
      </c>
      <c r="H4" s="9">
        <v>1</v>
      </c>
      <c r="I4" s="6" t="s">
        <v>172</v>
      </c>
      <c r="J4" s="5"/>
    </row>
    <row r="5" spans="1:10">
      <c r="A5" s="2" t="s">
        <v>63</v>
      </c>
      <c r="B5" s="2" t="s">
        <v>61</v>
      </c>
      <c r="C5" s="2" t="s">
        <v>64</v>
      </c>
      <c r="D5" s="5" t="s">
        <v>176</v>
      </c>
      <c r="E5" s="11">
        <v>46314</v>
      </c>
      <c r="F5" s="6" t="s">
        <v>37</v>
      </c>
      <c r="G5" s="5" t="s">
        <v>37</v>
      </c>
      <c r="H5" s="9">
        <v>1</v>
      </c>
      <c r="I5" s="6" t="s">
        <v>172</v>
      </c>
      <c r="J5" s="5"/>
    </row>
    <row r="6" spans="1:10">
      <c r="A6" s="2" t="s">
        <v>65</v>
      </c>
      <c r="B6" s="2" t="s">
        <v>66</v>
      </c>
      <c r="C6" s="2" t="s">
        <v>67</v>
      </c>
      <c r="D6" s="6" t="s">
        <v>177</v>
      </c>
      <c r="E6" s="11">
        <v>46311</v>
      </c>
      <c r="F6" s="6" t="s">
        <v>37</v>
      </c>
      <c r="G6" s="5" t="s">
        <v>37</v>
      </c>
      <c r="H6" s="9">
        <v>1</v>
      </c>
      <c r="I6" s="6" t="s">
        <v>174</v>
      </c>
      <c r="J6" s="5"/>
    </row>
    <row r="7" spans="1:10">
      <c r="A7" s="2" t="s">
        <v>68</v>
      </c>
      <c r="B7" s="2" t="s">
        <v>66</v>
      </c>
      <c r="C7" s="2" t="s">
        <v>69</v>
      </c>
      <c r="D7" s="6" t="s">
        <v>177</v>
      </c>
      <c r="E7" s="11">
        <v>46316</v>
      </c>
      <c r="F7" s="6" t="s">
        <v>37</v>
      </c>
      <c r="G7" s="5" t="s">
        <v>37</v>
      </c>
      <c r="H7" s="9">
        <v>1</v>
      </c>
      <c r="I7" s="6" t="s">
        <v>174</v>
      </c>
      <c r="J7" s="5"/>
    </row>
    <row r="8" spans="1:10">
      <c r="A8" s="2" t="s">
        <v>70</v>
      </c>
      <c r="B8" s="2" t="s">
        <v>71</v>
      </c>
      <c r="C8" s="2" t="s">
        <v>72</v>
      </c>
      <c r="D8" s="6" t="s">
        <v>178</v>
      </c>
      <c r="E8" s="11">
        <v>46311</v>
      </c>
      <c r="F8" s="6" t="s">
        <v>37</v>
      </c>
      <c r="G8" s="5" t="s">
        <v>37</v>
      </c>
      <c r="H8" s="9">
        <v>1</v>
      </c>
      <c r="I8" s="6" t="s">
        <v>173</v>
      </c>
      <c r="J8" s="5"/>
    </row>
    <row r="9" spans="1:10">
      <c r="A9" s="2" t="s">
        <v>73</v>
      </c>
      <c r="B9" s="2" t="s">
        <v>71</v>
      </c>
      <c r="C9" s="2" t="s">
        <v>74</v>
      </c>
      <c r="D9" s="6" t="s">
        <v>178</v>
      </c>
      <c r="E9" s="11">
        <v>46316</v>
      </c>
      <c r="F9" s="6" t="s">
        <v>37</v>
      </c>
      <c r="G9" s="5" t="s">
        <v>37</v>
      </c>
      <c r="H9" s="9">
        <v>1</v>
      </c>
      <c r="I9" s="6" t="s">
        <v>173</v>
      </c>
      <c r="J9" s="5"/>
    </row>
    <row r="10" spans="1:10" ht="28.5">
      <c r="A10" s="2" t="s">
        <v>75</v>
      </c>
      <c r="B10" s="2" t="s">
        <v>76</v>
      </c>
      <c r="C10" s="2" t="s">
        <v>77</v>
      </c>
      <c r="D10" s="6" t="s">
        <v>179</v>
      </c>
      <c r="E10" s="11">
        <v>46318</v>
      </c>
      <c r="F10" s="6" t="s">
        <v>37</v>
      </c>
      <c r="G10" s="5" t="s">
        <v>37</v>
      </c>
      <c r="H10" s="9">
        <v>1</v>
      </c>
      <c r="I10" s="6" t="s">
        <v>175</v>
      </c>
      <c r="J10" s="5"/>
    </row>
    <row r="11" spans="1:10" ht="28.5">
      <c r="A11" s="2" t="s">
        <v>78</v>
      </c>
      <c r="B11" s="2" t="s">
        <v>76</v>
      </c>
      <c r="C11" s="2" t="s">
        <v>79</v>
      </c>
      <c r="D11" s="6" t="s">
        <v>180</v>
      </c>
      <c r="E11" s="11">
        <v>46318</v>
      </c>
      <c r="F11" s="6" t="s">
        <v>37</v>
      </c>
      <c r="G11" s="5" t="s">
        <v>37</v>
      </c>
      <c r="H11" s="9">
        <v>1</v>
      </c>
      <c r="I11" s="6" t="s">
        <v>175</v>
      </c>
      <c r="J11" s="5"/>
    </row>
    <row r="12" spans="1:10" ht="28.5">
      <c r="A12" s="2" t="s">
        <v>80</v>
      </c>
      <c r="B12" s="2" t="s">
        <v>76</v>
      </c>
      <c r="C12" s="2" t="s">
        <v>81</v>
      </c>
      <c r="D12" s="6" t="s">
        <v>179</v>
      </c>
      <c r="E12" s="11">
        <v>46322</v>
      </c>
      <c r="F12" s="6" t="s">
        <v>37</v>
      </c>
      <c r="G12" s="5" t="s">
        <v>37</v>
      </c>
      <c r="H12" s="9">
        <v>1</v>
      </c>
      <c r="I12" s="6" t="s">
        <v>175</v>
      </c>
      <c r="J12" s="5"/>
    </row>
    <row r="13" spans="1:10" ht="28.5">
      <c r="A13" s="2" t="s">
        <v>82</v>
      </c>
      <c r="B13" s="2" t="s">
        <v>83</v>
      </c>
      <c r="C13" s="2" t="s">
        <v>84</v>
      </c>
      <c r="D13" s="5" t="s">
        <v>181</v>
      </c>
      <c r="E13" s="11">
        <v>46324</v>
      </c>
      <c r="F13" s="6" t="s">
        <v>37</v>
      </c>
      <c r="G13" s="5" t="s">
        <v>37</v>
      </c>
      <c r="H13" s="9">
        <v>1</v>
      </c>
      <c r="I13" s="6" t="s">
        <v>169</v>
      </c>
      <c r="J13" s="5"/>
    </row>
    <row r="14" spans="1:10" ht="28.5">
      <c r="A14" s="2" t="s">
        <v>85</v>
      </c>
      <c r="B14" s="2" t="s">
        <v>86</v>
      </c>
      <c r="C14" s="2" t="s">
        <v>87</v>
      </c>
      <c r="D14" s="6" t="s">
        <v>182</v>
      </c>
      <c r="E14" s="11">
        <v>46311</v>
      </c>
      <c r="F14" s="6" t="s">
        <v>37</v>
      </c>
      <c r="G14" s="5" t="s">
        <v>37</v>
      </c>
      <c r="H14" s="9">
        <v>1</v>
      </c>
      <c r="I14" s="6" t="s">
        <v>169</v>
      </c>
      <c r="J14" s="5"/>
    </row>
    <row r="15" spans="1:10" ht="28.5">
      <c r="A15" s="2" t="s">
        <v>88</v>
      </c>
      <c r="B15" s="2" t="s">
        <v>89</v>
      </c>
      <c r="C15" s="2" t="s">
        <v>90</v>
      </c>
      <c r="D15" s="5" t="s">
        <v>177</v>
      </c>
      <c r="E15" s="11">
        <v>46328</v>
      </c>
      <c r="F15" s="6" t="s">
        <v>37</v>
      </c>
      <c r="G15" s="5" t="s">
        <v>37</v>
      </c>
      <c r="H15" s="9">
        <v>1</v>
      </c>
      <c r="I15" s="6" t="s">
        <v>171</v>
      </c>
      <c r="J15" s="5"/>
    </row>
    <row r="16" spans="1:10" ht="90" customHeight="1">
      <c r="A16" s="2" t="s">
        <v>91</v>
      </c>
      <c r="B16" s="2" t="s">
        <v>92</v>
      </c>
      <c r="C16" s="2" t="s">
        <v>93</v>
      </c>
      <c r="D16" s="5" t="s">
        <v>183</v>
      </c>
      <c r="E16" s="11">
        <v>46336</v>
      </c>
      <c r="F16" s="6" t="s">
        <v>37</v>
      </c>
      <c r="G16" s="5" t="s">
        <v>37</v>
      </c>
      <c r="H16" s="9">
        <v>1</v>
      </c>
      <c r="I16" s="6" t="s">
        <v>170</v>
      </c>
      <c r="J16" s="5"/>
    </row>
    <row r="17" spans="1:10">
      <c r="A17" s="2"/>
      <c r="B17" s="2"/>
      <c r="C17" s="2"/>
      <c r="D17" s="5"/>
      <c r="E17" s="10"/>
      <c r="F17" s="5"/>
      <c r="G17" s="5"/>
      <c r="H17" s="9"/>
      <c r="I17" s="5"/>
      <c r="J17" s="5"/>
    </row>
    <row r="18" spans="1:10">
      <c r="A18" s="2"/>
      <c r="B18" s="2"/>
      <c r="C18" s="2"/>
      <c r="D18" s="5"/>
      <c r="E18" s="5"/>
      <c r="F18" s="5"/>
      <c r="G18" s="5"/>
      <c r="H18" s="9"/>
      <c r="I18" s="5"/>
      <c r="J18" s="5"/>
    </row>
    <row r="19" spans="1:10">
      <c r="A19" s="2"/>
      <c r="B19" s="2"/>
      <c r="C19" s="2"/>
      <c r="D19" s="5"/>
      <c r="E19" s="5"/>
      <c r="F19" s="5"/>
      <c r="G19" s="5"/>
      <c r="H19" s="9"/>
      <c r="I19" s="5"/>
      <c r="J19" s="5"/>
    </row>
    <row r="20" spans="1:10">
      <c r="A20" s="2"/>
      <c r="B20" s="2"/>
      <c r="C20" s="2"/>
      <c r="D20" s="5"/>
      <c r="E20" s="5"/>
      <c r="F20" s="5"/>
      <c r="G20" s="5"/>
      <c r="H20" s="9"/>
      <c r="I20" s="5"/>
      <c r="J20" s="5"/>
    </row>
    <row r="21" spans="1:10">
      <c r="A21" s="2"/>
      <c r="B21" s="2"/>
      <c r="C21" s="2"/>
      <c r="D21" s="5"/>
      <c r="E21" s="5"/>
      <c r="F21" s="5"/>
      <c r="G21" s="5"/>
      <c r="H21" s="9"/>
      <c r="I21" s="5"/>
      <c r="J21" s="5"/>
    </row>
    <row r="22" spans="1:10">
      <c r="A22" s="2"/>
      <c r="B22" s="2"/>
      <c r="C22" s="2"/>
      <c r="D22" s="5"/>
      <c r="E22" s="5"/>
      <c r="F22" s="5"/>
      <c r="G22" s="5"/>
      <c r="H22" s="9"/>
      <c r="I22" s="5"/>
      <c r="J22" s="5"/>
    </row>
    <row r="23" spans="1:10">
      <c r="A23" s="2"/>
      <c r="B23" s="2"/>
      <c r="C23" s="2"/>
      <c r="D23" s="5"/>
      <c r="E23" s="5"/>
      <c r="F23" s="5"/>
      <c r="G23" s="5"/>
      <c r="H23" s="9"/>
      <c r="I23" s="5"/>
      <c r="J23" s="5"/>
    </row>
    <row r="24" spans="1:10">
      <c r="A24" s="2"/>
      <c r="B24" s="2"/>
      <c r="C24" s="2"/>
      <c r="D24" s="5"/>
      <c r="E24" s="5"/>
      <c r="F24" s="5"/>
      <c r="G24" s="5"/>
      <c r="H24" s="9"/>
      <c r="I24" s="5"/>
      <c r="J24" s="5"/>
    </row>
    <row r="25" spans="1:10">
      <c r="A25" s="2"/>
      <c r="B25" s="2"/>
      <c r="C25" s="2"/>
      <c r="D25" s="5"/>
      <c r="E25" s="5"/>
      <c r="F25" s="5"/>
      <c r="G25" s="5"/>
      <c r="H25" s="9"/>
      <c r="I25" s="5"/>
      <c r="J25" s="5"/>
    </row>
    <row r="26" spans="1:10">
      <c r="A26" s="2"/>
      <c r="B26" s="2"/>
      <c r="C26" s="2"/>
      <c r="D26" s="5"/>
      <c r="E26" s="5"/>
      <c r="F26" s="5"/>
      <c r="G26" s="5"/>
      <c r="H26" s="9"/>
      <c r="I26" s="5"/>
      <c r="J26" s="5"/>
    </row>
    <row r="27" spans="1:10">
      <c r="A27" s="2"/>
      <c r="B27" s="2"/>
      <c r="C27" s="2"/>
      <c r="D27" s="5"/>
      <c r="E27" s="5"/>
      <c r="F27" s="5"/>
      <c r="G27" s="5"/>
      <c r="H27" s="9"/>
      <c r="I27" s="5"/>
      <c r="J27" s="5"/>
    </row>
    <row r="28" spans="1:10">
      <c r="A28" s="2"/>
      <c r="B28" s="2"/>
      <c r="C28" s="2"/>
      <c r="D28" s="5"/>
      <c r="E28" s="5"/>
      <c r="F28" s="5"/>
      <c r="G28" s="5"/>
      <c r="H28" s="9"/>
      <c r="I28" s="5"/>
      <c r="J28" s="5"/>
    </row>
    <row r="29" spans="1:10">
      <c r="A29" s="2"/>
      <c r="B29" s="2"/>
      <c r="C29" s="2"/>
      <c r="D29" s="5"/>
      <c r="E29" s="5"/>
      <c r="F29" s="5"/>
      <c r="G29" s="5"/>
      <c r="H29" s="9"/>
      <c r="I29" s="5"/>
      <c r="J29" s="5"/>
    </row>
    <row r="30" spans="1:10">
      <c r="A30" s="2"/>
      <c r="B30" s="2"/>
      <c r="C30" s="2"/>
      <c r="D30" s="5"/>
      <c r="E30" s="5"/>
      <c r="F30" s="5"/>
      <c r="G30" s="5"/>
      <c r="H30" s="9"/>
      <c r="I30" s="5"/>
      <c r="J30" s="5"/>
    </row>
    <row r="31" spans="1:10">
      <c r="A31" s="2"/>
      <c r="B31" s="2"/>
      <c r="C31" s="2"/>
      <c r="D31" s="5"/>
      <c r="E31" s="5"/>
      <c r="F31" s="5"/>
      <c r="G31" s="5"/>
      <c r="H31" s="9"/>
      <c r="I31" s="5"/>
      <c r="J31" s="5"/>
    </row>
    <row r="32" spans="1:10">
      <c r="A32" s="2"/>
      <c r="B32" s="2"/>
      <c r="C32" s="2"/>
      <c r="D32" s="5"/>
      <c r="E32" s="5"/>
      <c r="F32" s="5"/>
      <c r="G32" s="5"/>
      <c r="H32" s="9"/>
      <c r="I32" s="5"/>
      <c r="J32" s="5"/>
    </row>
    <row r="33" spans="1:10">
      <c r="A33" s="2"/>
      <c r="B33" s="2"/>
      <c r="C33" s="2"/>
      <c r="D33" s="5"/>
      <c r="E33" s="5"/>
      <c r="F33" s="5"/>
      <c r="G33" s="5"/>
      <c r="H33" s="9"/>
      <c r="I33" s="5"/>
      <c r="J33" s="5"/>
    </row>
  </sheetData>
  <mergeCells count="1">
    <mergeCell ref="A1:J1"/>
  </mergeCells>
  <conditionalFormatting sqref="G4:G33">
    <cfRule type="expression" dxfId="6" priority="1">
      <formula>G4="Completed"</formula>
    </cfRule>
    <cfRule type="expression" dxfId="5" priority="2">
      <formula>G4="Blocked"</formula>
    </cfRule>
  </conditionalFormatting>
  <conditionalFormatting sqref="H4:H33">
    <cfRule type="dataBar" priority="3">
      <dataBar>
        <cfvo type="min"/>
        <cfvo type="max"/>
        <color rgb="FFA02B93"/>
      </dataBar>
    </cfRule>
  </conditionalFormatting>
  <conditionalFormatting sqref="H4:H33">
    <cfRule type="dataBar" priority="4">
      <dataBar>
        <cfvo type="min"/>
        <cfvo type="max"/>
        <color rgb="FFA02B93"/>
      </dataBar>
      <extLst>
        <ext xmlns:x14="http://schemas.microsoft.com/office/spreadsheetml/2009/9/main" uri="{B025F937-C7B1-47D3-B67F-A62EFF666E3E}">
          <x14:id>{D7A4EB28-E7F8-4958-8D2A-D9D681754EC5}</x14:id>
        </ext>
      </extLst>
    </cfRule>
  </conditionalFormatting>
  <dataValidations count="1">
    <dataValidation type="list" sqref="G4:G33">
      <formula1>"Not Started,In Progress,Completed,Blocked"</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D7A4EB28-E7F8-4958-8D2A-D9D681754EC5}">
            <x14:dataBar>
              <x14:cfvo type="min"/>
              <x14:cfvo type="max"/>
              <x14:negativeFillColor auto="1"/>
              <x14:axisColor auto="1"/>
            </x14:dataBar>
          </x14:cfRule>
          <xm:sqref>H4:H33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
  <sheetViews>
    <sheetView topLeftCell="A3" zoomScale="80" zoomScaleNormal="80" workbookViewId="0">
      <selection activeCell="A4" sqref="A4:A13"/>
    </sheetView>
  </sheetViews>
  <sheetFormatPr defaultRowHeight="14.25"/>
  <cols>
    <col min="1" max="1" width="22" customWidth="1"/>
    <col min="2" max="2" width="16" customWidth="1"/>
    <col min="3" max="3" width="22" customWidth="1"/>
    <col min="4" max="4" width="28" customWidth="1"/>
    <col min="5" max="5" width="42" customWidth="1"/>
    <col min="6" max="6" width="15" customWidth="1"/>
    <col min="7" max="7" width="12" customWidth="1"/>
    <col min="8" max="8" width="36" customWidth="1"/>
    <col min="9" max="10" width="15" customWidth="1"/>
    <col min="11" max="11" width="34" customWidth="1"/>
    <col min="12" max="12" width="16" customWidth="1"/>
  </cols>
  <sheetData>
    <row r="1" spans="1:12" ht="33.950000000000003" customHeight="1">
      <c r="A1" s="16" t="s">
        <v>94</v>
      </c>
      <c r="B1" s="16"/>
      <c r="C1" s="16"/>
      <c r="D1" s="16"/>
      <c r="E1" s="16"/>
      <c r="F1" s="16"/>
      <c r="G1" s="16"/>
      <c r="H1" s="16"/>
      <c r="I1" s="16"/>
      <c r="J1" s="16"/>
      <c r="K1" s="16"/>
      <c r="L1" s="16"/>
    </row>
    <row r="3" spans="1:12" ht="30" customHeight="1">
      <c r="A3" s="1" t="s">
        <v>95</v>
      </c>
      <c r="B3" s="1" t="s">
        <v>96</v>
      </c>
      <c r="C3" s="1" t="s">
        <v>51</v>
      </c>
      <c r="D3" s="1" t="s">
        <v>97</v>
      </c>
      <c r="E3" s="1" t="s">
        <v>98</v>
      </c>
      <c r="F3" s="1" t="s">
        <v>99</v>
      </c>
      <c r="G3" s="1" t="s">
        <v>100</v>
      </c>
      <c r="H3" s="1" t="s">
        <v>58</v>
      </c>
      <c r="I3" s="1" t="s">
        <v>101</v>
      </c>
      <c r="J3" s="1" t="s">
        <v>102</v>
      </c>
      <c r="K3" s="1" t="s">
        <v>103</v>
      </c>
      <c r="L3" s="1" t="s">
        <v>104</v>
      </c>
    </row>
    <row r="4" spans="1:12" ht="85.5">
      <c r="A4" s="6" t="s">
        <v>185</v>
      </c>
      <c r="B4" s="6">
        <v>221007662</v>
      </c>
      <c r="C4" s="5" t="s">
        <v>89</v>
      </c>
      <c r="D4" s="5" t="s">
        <v>197</v>
      </c>
      <c r="E4" s="6" t="s">
        <v>206</v>
      </c>
      <c r="F4" s="13">
        <v>46328</v>
      </c>
      <c r="G4" s="5">
        <v>24</v>
      </c>
      <c r="H4" s="10" t="s">
        <v>167</v>
      </c>
      <c r="I4" s="5" t="s">
        <v>199</v>
      </c>
      <c r="J4" s="13">
        <v>46328</v>
      </c>
      <c r="K4" s="5"/>
      <c r="L4" s="5" t="s">
        <v>37</v>
      </c>
    </row>
    <row r="5" spans="1:12" ht="28.5">
      <c r="A5" s="6" t="s">
        <v>186</v>
      </c>
      <c r="B5" s="6">
        <v>221010874</v>
      </c>
      <c r="C5" s="5" t="s">
        <v>92</v>
      </c>
      <c r="D5" s="5" t="s">
        <v>198</v>
      </c>
      <c r="E5" s="10" t="s">
        <v>207</v>
      </c>
      <c r="F5" s="13">
        <v>46329</v>
      </c>
      <c r="G5" s="5">
        <v>24</v>
      </c>
      <c r="H5" s="5" t="s">
        <v>170</v>
      </c>
      <c r="I5" s="5" t="s">
        <v>199</v>
      </c>
      <c r="J5" s="13">
        <v>46328</v>
      </c>
      <c r="K5" s="5"/>
      <c r="L5" s="5" t="s">
        <v>37</v>
      </c>
    </row>
    <row r="6" spans="1:12" ht="42.75">
      <c r="A6" s="6" t="s">
        <v>187</v>
      </c>
      <c r="B6" s="6">
        <v>223066258</v>
      </c>
      <c r="C6" s="5" t="s">
        <v>66</v>
      </c>
      <c r="D6" s="5" t="s">
        <v>201</v>
      </c>
      <c r="E6" s="5" t="s">
        <v>208</v>
      </c>
      <c r="F6" s="13">
        <v>46317</v>
      </c>
      <c r="G6" s="5">
        <v>48</v>
      </c>
      <c r="H6" s="5" t="s">
        <v>221</v>
      </c>
      <c r="I6" s="5" t="s">
        <v>199</v>
      </c>
      <c r="J6" s="13">
        <v>46328</v>
      </c>
      <c r="K6" s="5"/>
      <c r="L6" s="5" t="s">
        <v>37</v>
      </c>
    </row>
    <row r="7" spans="1:12" ht="50.25" customHeight="1">
      <c r="A7" s="6" t="s">
        <v>188</v>
      </c>
      <c r="B7" s="6">
        <v>222033930</v>
      </c>
      <c r="C7" s="5" t="s">
        <v>71</v>
      </c>
      <c r="D7" s="10" t="s">
        <v>202</v>
      </c>
      <c r="E7" s="5" t="s">
        <v>209</v>
      </c>
      <c r="F7" s="13">
        <v>46317</v>
      </c>
      <c r="G7" s="5">
        <v>48</v>
      </c>
      <c r="H7" s="5" t="s">
        <v>217</v>
      </c>
      <c r="I7" s="5" t="s">
        <v>199</v>
      </c>
      <c r="J7" s="13">
        <v>46328</v>
      </c>
      <c r="K7" s="5"/>
      <c r="L7" s="5" t="s">
        <v>37</v>
      </c>
    </row>
    <row r="8" spans="1:12" ht="57">
      <c r="A8" s="6" t="s">
        <v>189</v>
      </c>
      <c r="B8" s="6">
        <v>221003431</v>
      </c>
      <c r="C8" s="5" t="s">
        <v>83</v>
      </c>
      <c r="D8" s="5" t="s">
        <v>205</v>
      </c>
      <c r="E8" s="5" t="s">
        <v>212</v>
      </c>
      <c r="F8" s="13">
        <v>46325</v>
      </c>
      <c r="G8" s="5">
        <v>48</v>
      </c>
      <c r="H8" s="6" t="s">
        <v>169</v>
      </c>
      <c r="I8" s="5" t="s">
        <v>199</v>
      </c>
      <c r="J8" s="13">
        <v>46328</v>
      </c>
      <c r="K8" s="5"/>
      <c r="L8" s="5" t="s">
        <v>37</v>
      </c>
    </row>
    <row r="9" spans="1:12" ht="28.5">
      <c r="A9" s="6" t="s">
        <v>190</v>
      </c>
      <c r="B9" s="6">
        <v>223038645</v>
      </c>
      <c r="C9" s="5" t="s">
        <v>76</v>
      </c>
      <c r="D9" s="5" t="s">
        <v>203</v>
      </c>
      <c r="E9" s="5" t="s">
        <v>213</v>
      </c>
      <c r="F9" s="13">
        <v>46321</v>
      </c>
      <c r="G9" s="5">
        <v>48</v>
      </c>
      <c r="H9" s="10" t="s">
        <v>219</v>
      </c>
      <c r="I9" s="5" t="s">
        <v>199</v>
      </c>
      <c r="J9" s="13">
        <v>46328</v>
      </c>
      <c r="K9" s="5"/>
      <c r="L9" s="5" t="s">
        <v>37</v>
      </c>
    </row>
    <row r="10" spans="1:12" ht="28.5">
      <c r="A10" s="6" t="s">
        <v>191</v>
      </c>
      <c r="B10" s="6">
        <v>222001440</v>
      </c>
      <c r="C10" s="5" t="s">
        <v>76</v>
      </c>
      <c r="D10" s="5" t="s">
        <v>204</v>
      </c>
      <c r="E10" s="10" t="s">
        <v>214</v>
      </c>
      <c r="F10" s="13">
        <v>46321</v>
      </c>
      <c r="G10" s="5">
        <v>48</v>
      </c>
      <c r="H10" s="10" t="s">
        <v>220</v>
      </c>
      <c r="I10" s="5" t="s">
        <v>199</v>
      </c>
      <c r="J10" s="13">
        <v>46328</v>
      </c>
      <c r="K10" s="5"/>
      <c r="L10" s="5" t="s">
        <v>37</v>
      </c>
    </row>
    <row r="11" spans="1:12" ht="28.5">
      <c r="A11" s="6" t="s">
        <v>192</v>
      </c>
      <c r="B11" s="6">
        <v>223019042</v>
      </c>
      <c r="C11" s="5" t="s">
        <v>61</v>
      </c>
      <c r="D11" s="5" t="s">
        <v>196</v>
      </c>
      <c r="E11" s="5" t="s">
        <v>211</v>
      </c>
      <c r="F11" s="13">
        <v>46315</v>
      </c>
      <c r="G11" s="5">
        <v>24</v>
      </c>
      <c r="H11" s="10" t="s">
        <v>218</v>
      </c>
      <c r="I11" s="5" t="s">
        <v>199</v>
      </c>
      <c r="J11" s="13">
        <v>46328</v>
      </c>
      <c r="K11" s="5"/>
      <c r="L11" s="5" t="s">
        <v>37</v>
      </c>
    </row>
    <row r="12" spans="1:12" ht="57" customHeight="1">
      <c r="A12" s="6" t="s">
        <v>193</v>
      </c>
      <c r="B12" s="6">
        <v>223002326</v>
      </c>
      <c r="C12" s="5" t="s">
        <v>86</v>
      </c>
      <c r="D12" s="5" t="s">
        <v>195</v>
      </c>
      <c r="E12" s="6" t="s">
        <v>210</v>
      </c>
      <c r="F12" s="13">
        <v>46314</v>
      </c>
      <c r="G12" s="5">
        <v>48</v>
      </c>
      <c r="H12" s="5" t="s">
        <v>216</v>
      </c>
      <c r="I12" s="5" t="s">
        <v>199</v>
      </c>
      <c r="J12" s="13">
        <v>46328</v>
      </c>
      <c r="K12" s="5"/>
      <c r="L12" s="5" t="s">
        <v>37</v>
      </c>
    </row>
    <row r="13" spans="1:12" ht="49.5" customHeight="1">
      <c r="A13" s="6" t="s">
        <v>194</v>
      </c>
      <c r="B13" s="6">
        <v>221011353</v>
      </c>
      <c r="C13" s="5" t="s">
        <v>71</v>
      </c>
      <c r="D13" s="5" t="s">
        <v>200</v>
      </c>
      <c r="E13" s="10" t="s">
        <v>215</v>
      </c>
      <c r="F13" s="13">
        <v>46317</v>
      </c>
      <c r="G13" s="5">
        <v>48</v>
      </c>
      <c r="H13" s="5" t="s">
        <v>217</v>
      </c>
      <c r="I13" s="5" t="s">
        <v>199</v>
      </c>
      <c r="J13" s="13">
        <v>46328</v>
      </c>
      <c r="K13" s="5"/>
      <c r="L13" s="5" t="s">
        <v>37</v>
      </c>
    </row>
    <row r="14" spans="1:12">
      <c r="A14" s="5"/>
      <c r="B14" s="5"/>
      <c r="C14" s="5"/>
      <c r="D14" s="5"/>
      <c r="E14" s="5"/>
      <c r="F14" s="5"/>
      <c r="G14" s="5"/>
      <c r="H14" s="5"/>
      <c r="I14" s="5" t="s">
        <v>105</v>
      </c>
      <c r="J14" s="5"/>
      <c r="K14" s="5"/>
      <c r="L14" s="5" t="s">
        <v>46</v>
      </c>
    </row>
    <row r="15" spans="1:12">
      <c r="A15" s="5"/>
      <c r="B15" s="5"/>
      <c r="C15" s="5"/>
      <c r="D15" s="5"/>
      <c r="E15" s="5"/>
      <c r="F15" s="5"/>
      <c r="G15" s="5"/>
      <c r="H15" s="5"/>
      <c r="I15" s="5" t="s">
        <v>105</v>
      </c>
      <c r="J15" s="5"/>
      <c r="K15" s="5"/>
      <c r="L15" s="5" t="s">
        <v>46</v>
      </c>
    </row>
    <row r="16" spans="1:12">
      <c r="A16" s="5"/>
      <c r="B16" s="5"/>
      <c r="C16" s="5"/>
      <c r="D16" s="5"/>
      <c r="E16" s="5"/>
      <c r="F16" s="5"/>
      <c r="G16" s="5"/>
      <c r="H16" s="5"/>
      <c r="I16" s="5" t="s">
        <v>105</v>
      </c>
      <c r="J16" s="5"/>
      <c r="K16" s="5"/>
      <c r="L16" s="5" t="s">
        <v>46</v>
      </c>
    </row>
    <row r="17" spans="1:12">
      <c r="A17" s="5"/>
      <c r="B17" s="5"/>
      <c r="C17" s="5"/>
      <c r="D17" s="5"/>
      <c r="E17" s="5"/>
      <c r="F17" s="5"/>
      <c r="G17" s="5"/>
      <c r="H17" s="5"/>
      <c r="I17" s="5" t="s">
        <v>105</v>
      </c>
      <c r="J17" s="5"/>
      <c r="K17" s="5"/>
      <c r="L17" s="5" t="s">
        <v>46</v>
      </c>
    </row>
    <row r="18" spans="1:12">
      <c r="A18" s="5"/>
      <c r="B18" s="5"/>
      <c r="C18" s="5"/>
      <c r="D18" s="5"/>
      <c r="E18" s="5"/>
      <c r="F18" s="5"/>
      <c r="G18" s="5"/>
      <c r="H18" s="5"/>
      <c r="I18" s="5" t="s">
        <v>105</v>
      </c>
      <c r="J18" s="5"/>
      <c r="K18" s="5"/>
      <c r="L18" s="5" t="s">
        <v>46</v>
      </c>
    </row>
    <row r="19" spans="1:12">
      <c r="A19" s="5"/>
      <c r="B19" s="5"/>
      <c r="C19" s="5"/>
      <c r="D19" s="5"/>
      <c r="E19" s="5"/>
      <c r="F19" s="5"/>
      <c r="G19" s="5"/>
      <c r="H19" s="5"/>
      <c r="I19" s="5" t="s">
        <v>105</v>
      </c>
      <c r="J19" s="5"/>
      <c r="K19" s="5"/>
      <c r="L19" s="5" t="s">
        <v>46</v>
      </c>
    </row>
    <row r="20" spans="1:12">
      <c r="A20" s="5"/>
      <c r="B20" s="5"/>
      <c r="C20" s="5"/>
      <c r="D20" s="5"/>
      <c r="E20" s="5"/>
      <c r="F20" s="5"/>
      <c r="G20" s="5"/>
      <c r="H20" s="5"/>
      <c r="I20" s="5" t="s">
        <v>105</v>
      </c>
      <c r="J20" s="5"/>
      <c r="K20" s="5"/>
      <c r="L20" s="5" t="s">
        <v>46</v>
      </c>
    </row>
    <row r="21" spans="1:12">
      <c r="A21" s="5"/>
      <c r="B21" s="5"/>
      <c r="C21" s="5"/>
      <c r="D21" s="5"/>
      <c r="E21" s="5"/>
      <c r="F21" s="5"/>
      <c r="G21" s="5"/>
      <c r="H21" s="5"/>
      <c r="I21" s="5" t="s">
        <v>105</v>
      </c>
      <c r="J21" s="5"/>
      <c r="K21" s="5"/>
      <c r="L21" s="5" t="s">
        <v>46</v>
      </c>
    </row>
    <row r="22" spans="1:12">
      <c r="A22" s="5"/>
      <c r="B22" s="5"/>
      <c r="C22" s="5"/>
      <c r="D22" s="5"/>
      <c r="E22" s="5"/>
      <c r="F22" s="5"/>
      <c r="G22" s="5"/>
      <c r="H22" s="5"/>
      <c r="I22" s="5" t="s">
        <v>105</v>
      </c>
      <c r="J22" s="5"/>
      <c r="K22" s="5"/>
      <c r="L22" s="5" t="s">
        <v>46</v>
      </c>
    </row>
    <row r="23" spans="1:12">
      <c r="A23" s="5"/>
      <c r="B23" s="5"/>
      <c r="C23" s="5"/>
      <c r="D23" s="5"/>
      <c r="E23" s="5"/>
      <c r="F23" s="5"/>
      <c r="G23" s="5"/>
      <c r="H23" s="5"/>
      <c r="I23" s="5" t="s">
        <v>105</v>
      </c>
      <c r="J23" s="5"/>
      <c r="K23" s="5"/>
      <c r="L23" s="5" t="s">
        <v>46</v>
      </c>
    </row>
    <row r="24" spans="1:12">
      <c r="A24" s="5"/>
      <c r="B24" s="5"/>
      <c r="C24" s="5"/>
      <c r="D24" s="5"/>
      <c r="E24" s="5"/>
      <c r="F24" s="5"/>
      <c r="G24" s="5"/>
      <c r="H24" s="5"/>
      <c r="I24" s="5" t="s">
        <v>105</v>
      </c>
      <c r="J24" s="5"/>
      <c r="K24" s="5"/>
      <c r="L24" s="5" t="s">
        <v>46</v>
      </c>
    </row>
    <row r="25" spans="1:12">
      <c r="A25" s="5"/>
      <c r="B25" s="5"/>
      <c r="C25" s="5"/>
      <c r="D25" s="5"/>
      <c r="E25" s="5"/>
      <c r="F25" s="5"/>
      <c r="G25" s="5"/>
      <c r="H25" s="5"/>
      <c r="I25" s="5" t="s">
        <v>105</v>
      </c>
      <c r="J25" s="5"/>
      <c r="K25" s="5"/>
      <c r="L25" s="5" t="s">
        <v>46</v>
      </c>
    </row>
    <row r="26" spans="1:12">
      <c r="A26" s="5"/>
      <c r="B26" s="5"/>
      <c r="C26" s="5"/>
      <c r="D26" s="5"/>
      <c r="E26" s="5"/>
      <c r="F26" s="5"/>
      <c r="G26" s="5"/>
      <c r="H26" s="5"/>
      <c r="I26" s="5" t="s">
        <v>105</v>
      </c>
      <c r="J26" s="5"/>
      <c r="K26" s="5"/>
      <c r="L26" s="5" t="s">
        <v>46</v>
      </c>
    </row>
    <row r="27" spans="1:12">
      <c r="A27" s="5"/>
      <c r="B27" s="5"/>
      <c r="C27" s="5"/>
      <c r="D27" s="5"/>
      <c r="E27" s="5"/>
      <c r="F27" s="5"/>
      <c r="G27" s="5"/>
      <c r="H27" s="5"/>
      <c r="I27" s="5" t="s">
        <v>105</v>
      </c>
      <c r="J27" s="5"/>
      <c r="K27" s="5"/>
      <c r="L27" s="5" t="s">
        <v>46</v>
      </c>
    </row>
    <row r="28" spans="1:12">
      <c r="A28" s="5"/>
      <c r="B28" s="5"/>
      <c r="C28" s="5"/>
      <c r="D28" s="5"/>
      <c r="E28" s="5"/>
      <c r="F28" s="5"/>
      <c r="G28" s="5"/>
      <c r="H28" s="5"/>
      <c r="I28" s="5" t="s">
        <v>105</v>
      </c>
      <c r="J28" s="5"/>
      <c r="K28" s="5"/>
      <c r="L28" s="5" t="s">
        <v>46</v>
      </c>
    </row>
    <row r="29" spans="1:12">
      <c r="A29" s="5"/>
      <c r="B29" s="5"/>
      <c r="C29" s="5"/>
      <c r="D29" s="5"/>
      <c r="E29" s="5"/>
      <c r="F29" s="5"/>
      <c r="G29" s="5"/>
      <c r="H29" s="5"/>
      <c r="I29" s="5" t="s">
        <v>105</v>
      </c>
      <c r="J29" s="5"/>
      <c r="K29" s="5"/>
      <c r="L29" s="5" t="s">
        <v>46</v>
      </c>
    </row>
    <row r="30" spans="1:12">
      <c r="A30" s="5"/>
      <c r="B30" s="5"/>
      <c r="C30" s="5"/>
      <c r="D30" s="5"/>
      <c r="E30" s="5"/>
      <c r="F30" s="5"/>
      <c r="G30" s="5"/>
      <c r="H30" s="5"/>
      <c r="I30" s="5" t="s">
        <v>105</v>
      </c>
      <c r="J30" s="5"/>
      <c r="K30" s="5"/>
      <c r="L30" s="5" t="s">
        <v>46</v>
      </c>
    </row>
    <row r="31" spans="1:12">
      <c r="A31" s="5"/>
      <c r="B31" s="5"/>
      <c r="C31" s="5"/>
      <c r="D31" s="5"/>
      <c r="E31" s="5"/>
      <c r="F31" s="5"/>
      <c r="G31" s="5"/>
      <c r="H31" s="5"/>
      <c r="I31" s="5" t="s">
        <v>105</v>
      </c>
      <c r="J31" s="5"/>
      <c r="K31" s="5"/>
      <c r="L31" s="5" t="s">
        <v>46</v>
      </c>
    </row>
    <row r="32" spans="1:12">
      <c r="A32" s="5"/>
      <c r="B32" s="5"/>
      <c r="C32" s="5"/>
      <c r="D32" s="5"/>
      <c r="E32" s="5"/>
      <c r="F32" s="5"/>
      <c r="G32" s="5"/>
      <c r="H32" s="5"/>
      <c r="I32" s="5" t="s">
        <v>105</v>
      </c>
      <c r="J32" s="5"/>
      <c r="K32" s="5"/>
      <c r="L32" s="5" t="s">
        <v>46</v>
      </c>
    </row>
    <row r="33" spans="1:12">
      <c r="A33" s="5"/>
      <c r="B33" s="5"/>
      <c r="C33" s="5"/>
      <c r="D33" s="5"/>
      <c r="E33" s="5"/>
      <c r="F33" s="5"/>
      <c r="G33" s="5"/>
      <c r="H33" s="5"/>
      <c r="I33" s="5" t="s">
        <v>105</v>
      </c>
      <c r="J33" s="5"/>
      <c r="K33" s="5"/>
      <c r="L33" s="5" t="s">
        <v>46</v>
      </c>
    </row>
    <row r="34" spans="1:12">
      <c r="A34" s="5"/>
      <c r="B34" s="5"/>
      <c r="C34" s="5"/>
      <c r="D34" s="5"/>
      <c r="E34" s="5"/>
      <c r="F34" s="5"/>
      <c r="G34" s="5"/>
      <c r="H34" s="5"/>
      <c r="I34" s="5" t="s">
        <v>105</v>
      </c>
      <c r="J34" s="5"/>
      <c r="K34" s="5"/>
      <c r="L34" s="5" t="s">
        <v>46</v>
      </c>
    </row>
    <row r="35" spans="1:12">
      <c r="A35" s="5"/>
      <c r="B35" s="5"/>
      <c r="C35" s="5"/>
      <c r="D35" s="5"/>
      <c r="E35" s="5"/>
      <c r="F35" s="5"/>
      <c r="G35" s="5"/>
      <c r="H35" s="5"/>
      <c r="I35" s="5" t="s">
        <v>105</v>
      </c>
      <c r="J35" s="5"/>
      <c r="K35" s="5"/>
      <c r="L35" s="5" t="s">
        <v>46</v>
      </c>
    </row>
    <row r="36" spans="1:12">
      <c r="A36" s="5"/>
      <c r="B36" s="5"/>
      <c r="C36" s="5"/>
      <c r="D36" s="5"/>
      <c r="E36" s="5"/>
      <c r="F36" s="5"/>
      <c r="G36" s="5"/>
      <c r="H36" s="5"/>
      <c r="I36" s="5" t="s">
        <v>105</v>
      </c>
      <c r="J36" s="5"/>
      <c r="K36" s="5"/>
      <c r="L36" s="5" t="s">
        <v>46</v>
      </c>
    </row>
    <row r="37" spans="1:12">
      <c r="A37" s="5"/>
      <c r="B37" s="5"/>
      <c r="C37" s="5"/>
      <c r="D37" s="5"/>
      <c r="E37" s="5"/>
      <c r="F37" s="5"/>
      <c r="G37" s="5"/>
      <c r="H37" s="5"/>
      <c r="I37" s="5" t="s">
        <v>105</v>
      </c>
      <c r="J37" s="5"/>
      <c r="K37" s="5"/>
      <c r="L37" s="5" t="s">
        <v>46</v>
      </c>
    </row>
    <row r="38" spans="1:12">
      <c r="A38" s="5"/>
      <c r="B38" s="5"/>
      <c r="C38" s="5"/>
      <c r="D38" s="5"/>
      <c r="E38" s="5"/>
      <c r="F38" s="5"/>
      <c r="G38" s="5"/>
      <c r="H38" s="5"/>
      <c r="I38" s="5" t="s">
        <v>105</v>
      </c>
      <c r="J38" s="5"/>
      <c r="K38" s="5"/>
      <c r="L38" s="5" t="s">
        <v>46</v>
      </c>
    </row>
    <row r="39" spans="1:12">
      <c r="A39" s="5"/>
      <c r="B39" s="5"/>
      <c r="C39" s="5"/>
      <c r="D39" s="5"/>
      <c r="E39" s="5"/>
      <c r="F39" s="5"/>
      <c r="G39" s="5"/>
      <c r="H39" s="5"/>
      <c r="I39" s="5" t="s">
        <v>105</v>
      </c>
      <c r="J39" s="5"/>
      <c r="K39" s="5"/>
      <c r="L39" s="5" t="s">
        <v>46</v>
      </c>
    </row>
    <row r="40" spans="1:12">
      <c r="A40" s="5"/>
      <c r="B40" s="5"/>
      <c r="C40" s="5"/>
      <c r="D40" s="5"/>
      <c r="E40" s="5"/>
      <c r="F40" s="5"/>
      <c r="G40" s="5"/>
      <c r="H40" s="5"/>
      <c r="I40" s="5" t="s">
        <v>105</v>
      </c>
      <c r="J40" s="5"/>
      <c r="K40" s="5"/>
      <c r="L40" s="5" t="s">
        <v>46</v>
      </c>
    </row>
    <row r="41" spans="1:12">
      <c r="A41" s="5"/>
      <c r="B41" s="5"/>
      <c r="C41" s="5"/>
      <c r="D41" s="5"/>
      <c r="E41" s="5"/>
      <c r="F41" s="5"/>
      <c r="G41" s="5"/>
      <c r="H41" s="5"/>
      <c r="I41" s="5" t="s">
        <v>105</v>
      </c>
      <c r="J41" s="5"/>
      <c r="K41" s="5"/>
      <c r="L41" s="5" t="s">
        <v>46</v>
      </c>
    </row>
    <row r="42" spans="1:12">
      <c r="A42" s="5"/>
      <c r="B42" s="5"/>
      <c r="C42" s="5"/>
      <c r="D42" s="5"/>
      <c r="E42" s="5"/>
      <c r="F42" s="5"/>
      <c r="G42" s="5"/>
      <c r="H42" s="5"/>
      <c r="I42" s="5" t="s">
        <v>105</v>
      </c>
      <c r="J42" s="5"/>
      <c r="K42" s="5"/>
      <c r="L42" s="5" t="s">
        <v>46</v>
      </c>
    </row>
    <row r="43" spans="1:12">
      <c r="A43" s="5"/>
      <c r="B43" s="5"/>
      <c r="C43" s="5"/>
      <c r="D43" s="5"/>
      <c r="E43" s="5"/>
      <c r="F43" s="5"/>
      <c r="G43" s="5"/>
      <c r="H43" s="5"/>
      <c r="I43" s="5" t="s">
        <v>105</v>
      </c>
      <c r="J43" s="5"/>
      <c r="K43" s="5"/>
      <c r="L43" s="5" t="s">
        <v>46</v>
      </c>
    </row>
    <row r="44" spans="1:12">
      <c r="A44" s="5"/>
      <c r="B44" s="5"/>
      <c r="C44" s="5"/>
      <c r="D44" s="5"/>
      <c r="E44" s="5"/>
      <c r="F44" s="5"/>
      <c r="G44" s="5"/>
      <c r="H44" s="5"/>
      <c r="I44" s="5" t="s">
        <v>105</v>
      </c>
      <c r="J44" s="5"/>
      <c r="K44" s="5"/>
      <c r="L44" s="5" t="s">
        <v>46</v>
      </c>
    </row>
    <row r="45" spans="1:12">
      <c r="A45" s="5"/>
      <c r="B45" s="5"/>
      <c r="C45" s="5"/>
      <c r="D45" s="5"/>
      <c r="E45" s="5"/>
      <c r="F45" s="5"/>
      <c r="G45" s="5"/>
      <c r="H45" s="5"/>
      <c r="I45" s="5" t="s">
        <v>105</v>
      </c>
      <c r="J45" s="5"/>
      <c r="K45" s="5"/>
      <c r="L45" s="5" t="s">
        <v>46</v>
      </c>
    </row>
    <row r="46" spans="1:12">
      <c r="A46" s="5"/>
      <c r="B46" s="5"/>
      <c r="C46" s="5"/>
      <c r="D46" s="5"/>
      <c r="E46" s="5"/>
      <c r="F46" s="5"/>
      <c r="G46" s="5"/>
      <c r="H46" s="5"/>
      <c r="I46" s="5" t="s">
        <v>105</v>
      </c>
      <c r="J46" s="5"/>
      <c r="K46" s="5"/>
      <c r="L46" s="5" t="s">
        <v>46</v>
      </c>
    </row>
    <row r="47" spans="1:12">
      <c r="A47" s="5"/>
      <c r="B47" s="5"/>
      <c r="C47" s="5"/>
      <c r="D47" s="5"/>
      <c r="E47" s="5"/>
      <c r="F47" s="5"/>
      <c r="G47" s="5"/>
      <c r="H47" s="5"/>
      <c r="I47" s="5" t="s">
        <v>105</v>
      </c>
      <c r="J47" s="5"/>
      <c r="K47" s="5"/>
      <c r="L47" s="5" t="s">
        <v>46</v>
      </c>
    </row>
    <row r="48" spans="1:12">
      <c r="A48" s="5"/>
      <c r="B48" s="5"/>
      <c r="C48" s="5"/>
      <c r="D48" s="5"/>
      <c r="E48" s="5"/>
      <c r="F48" s="5"/>
      <c r="G48" s="5"/>
      <c r="H48" s="5"/>
      <c r="I48" s="5" t="s">
        <v>105</v>
      </c>
      <c r="J48" s="5"/>
      <c r="K48" s="5"/>
      <c r="L48" s="5" t="s">
        <v>46</v>
      </c>
    </row>
    <row r="49" spans="1:12">
      <c r="A49" s="5"/>
      <c r="B49" s="5"/>
      <c r="C49" s="5"/>
      <c r="D49" s="5"/>
      <c r="E49" s="5"/>
      <c r="F49" s="5"/>
      <c r="G49" s="5"/>
      <c r="H49" s="5"/>
      <c r="I49" s="5" t="s">
        <v>105</v>
      </c>
      <c r="J49" s="5"/>
      <c r="K49" s="5"/>
      <c r="L49" s="5" t="s">
        <v>46</v>
      </c>
    </row>
    <row r="50" spans="1:12">
      <c r="A50" s="5"/>
      <c r="B50" s="5"/>
      <c r="C50" s="5"/>
      <c r="D50" s="5"/>
      <c r="E50" s="5"/>
      <c r="F50" s="5"/>
      <c r="G50" s="5"/>
      <c r="H50" s="5"/>
      <c r="I50" s="5" t="s">
        <v>105</v>
      </c>
      <c r="J50" s="5"/>
      <c r="K50" s="5"/>
      <c r="L50" s="5" t="s">
        <v>46</v>
      </c>
    </row>
    <row r="51" spans="1:12">
      <c r="A51" s="5"/>
      <c r="B51" s="5"/>
      <c r="C51" s="5"/>
      <c r="D51" s="5"/>
      <c r="E51" s="5"/>
      <c r="F51" s="5"/>
      <c r="G51" s="5"/>
      <c r="H51" s="5"/>
      <c r="I51" s="5" t="s">
        <v>105</v>
      </c>
      <c r="J51" s="5"/>
      <c r="K51" s="5"/>
      <c r="L51" s="5" t="s">
        <v>46</v>
      </c>
    </row>
    <row r="52" spans="1:12">
      <c r="A52" s="5"/>
      <c r="B52" s="5"/>
      <c r="C52" s="5"/>
      <c r="D52" s="5"/>
      <c r="E52" s="5"/>
      <c r="F52" s="5"/>
      <c r="G52" s="5"/>
      <c r="H52" s="5"/>
      <c r="I52" s="5" t="s">
        <v>105</v>
      </c>
      <c r="J52" s="5"/>
      <c r="K52" s="5"/>
      <c r="L52" s="5" t="s">
        <v>46</v>
      </c>
    </row>
    <row r="53" spans="1:12">
      <c r="A53" s="5"/>
      <c r="B53" s="5"/>
      <c r="C53" s="5"/>
      <c r="D53" s="5"/>
      <c r="E53" s="5"/>
      <c r="F53" s="5"/>
      <c r="G53" s="5"/>
      <c r="H53" s="5"/>
      <c r="I53" s="5" t="s">
        <v>105</v>
      </c>
      <c r="J53" s="5"/>
      <c r="K53" s="5"/>
      <c r="L53" s="5" t="s">
        <v>46</v>
      </c>
    </row>
  </sheetData>
  <mergeCells count="1">
    <mergeCell ref="A1:L1"/>
  </mergeCells>
  <conditionalFormatting sqref="L4:L53">
    <cfRule type="expression" dxfId="4" priority="1">
      <formula>L4="Completed"</formula>
    </cfRule>
  </conditionalFormatting>
  <dataValidations count="3">
    <dataValidation type="list" sqref="C4:C53">
      <formula1>"Supabase Backend,Flutter,ASP.NET,Integration,SRS,Microsoft Project,GitHub,Final Demonstration,Other"</formula1>
    </dataValidation>
    <dataValidation type="list" sqref="I4:I53">
      <formula1>"Yes,No"</formula1>
    </dataValidation>
    <dataValidation type="list" sqref="L4:L53">
      <formula1>"Not Started,In Progress,Completed,Blocked"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zoomScale="70" zoomScaleNormal="70" workbookViewId="0">
      <selection activeCell="H6" sqref="H6"/>
    </sheetView>
  </sheetViews>
  <sheetFormatPr defaultRowHeight="14.25"/>
  <cols>
    <col min="1" max="1" width="28" customWidth="1"/>
    <col min="2" max="2" width="30" customWidth="1"/>
    <col min="3" max="5" width="34" customWidth="1"/>
    <col min="6" max="6" width="15" customWidth="1"/>
    <col min="7" max="7" width="24" customWidth="1"/>
    <col min="8" max="8" width="35" customWidth="1"/>
    <col min="9" max="9" width="34" customWidth="1"/>
  </cols>
  <sheetData>
    <row r="1" spans="1:9" ht="33.950000000000003" customHeight="1">
      <c r="A1" s="16" t="s">
        <v>106</v>
      </c>
      <c r="B1" s="16"/>
      <c r="C1" s="16"/>
      <c r="D1" s="16"/>
      <c r="E1" s="16"/>
      <c r="F1" s="16"/>
      <c r="G1" s="16"/>
      <c r="H1" s="16"/>
      <c r="I1" s="16"/>
    </row>
    <row r="3" spans="1:9" ht="30" customHeight="1">
      <c r="A3" s="1" t="s">
        <v>107</v>
      </c>
      <c r="B3" s="1" t="s">
        <v>108</v>
      </c>
      <c r="C3" s="1" t="s">
        <v>109</v>
      </c>
      <c r="D3" s="1" t="s">
        <v>110</v>
      </c>
      <c r="E3" s="1" t="s">
        <v>111</v>
      </c>
      <c r="F3" s="1" t="s">
        <v>112</v>
      </c>
      <c r="G3" s="1" t="s">
        <v>53</v>
      </c>
      <c r="H3" s="1" t="s">
        <v>113</v>
      </c>
      <c r="I3" s="1" t="s">
        <v>114</v>
      </c>
    </row>
    <row r="4" spans="1:9" ht="42.75">
      <c r="A4" s="5" t="s">
        <v>269</v>
      </c>
      <c r="B4" s="5" t="s">
        <v>268</v>
      </c>
      <c r="C4" s="14" t="s">
        <v>298</v>
      </c>
      <c r="D4" s="5" t="s">
        <v>287</v>
      </c>
      <c r="E4" s="5" t="s">
        <v>308</v>
      </c>
      <c r="F4" s="5" t="s">
        <v>37</v>
      </c>
      <c r="G4" s="15" t="s">
        <v>185</v>
      </c>
      <c r="H4" s="5" t="s">
        <v>317</v>
      </c>
      <c r="I4" s="5"/>
    </row>
    <row r="5" spans="1:9" ht="57">
      <c r="A5" s="5" t="s">
        <v>270</v>
      </c>
      <c r="B5" s="5" t="s">
        <v>283</v>
      </c>
      <c r="C5" s="5" t="s">
        <v>304</v>
      </c>
      <c r="D5" s="5" t="s">
        <v>288</v>
      </c>
      <c r="E5" s="5" t="s">
        <v>312</v>
      </c>
      <c r="F5" s="14" t="s">
        <v>37</v>
      </c>
      <c r="G5" s="15" t="s">
        <v>327</v>
      </c>
      <c r="H5" s="14" t="s">
        <v>326</v>
      </c>
      <c r="I5" s="5"/>
    </row>
    <row r="6" spans="1:9" ht="71.25">
      <c r="A6" s="5" t="s">
        <v>271</v>
      </c>
      <c r="B6" s="5" t="s">
        <v>282</v>
      </c>
      <c r="C6" s="5" t="s">
        <v>299</v>
      </c>
      <c r="D6" s="5" t="s">
        <v>289</v>
      </c>
      <c r="E6" s="5" t="s">
        <v>309</v>
      </c>
      <c r="F6" s="14" t="s">
        <v>37</v>
      </c>
      <c r="G6" s="15" t="s">
        <v>328</v>
      </c>
      <c r="H6" s="14" t="s">
        <v>324</v>
      </c>
      <c r="I6" s="5"/>
    </row>
    <row r="7" spans="1:9" ht="42.75">
      <c r="A7" s="5" t="s">
        <v>56</v>
      </c>
      <c r="B7" s="5" t="s">
        <v>294</v>
      </c>
      <c r="C7" s="5" t="s">
        <v>300</v>
      </c>
      <c r="D7" s="5" t="s">
        <v>295</v>
      </c>
      <c r="E7" s="5" t="s">
        <v>310</v>
      </c>
      <c r="F7" s="14" t="s">
        <v>37</v>
      </c>
      <c r="G7" s="15" t="s">
        <v>331</v>
      </c>
      <c r="H7" s="14" t="s">
        <v>330</v>
      </c>
      <c r="I7" s="5"/>
    </row>
    <row r="8" spans="1:9" ht="42.75">
      <c r="A8" s="5" t="s">
        <v>272</v>
      </c>
      <c r="B8" s="5" t="s">
        <v>281</v>
      </c>
      <c r="C8" s="5" t="s">
        <v>302</v>
      </c>
      <c r="D8" s="5" t="s">
        <v>290</v>
      </c>
      <c r="E8" s="5" t="s">
        <v>311</v>
      </c>
      <c r="F8" s="14" t="s">
        <v>37</v>
      </c>
      <c r="G8" s="15" t="s">
        <v>322</v>
      </c>
      <c r="H8" s="14" t="s">
        <v>320</v>
      </c>
      <c r="I8" s="5"/>
    </row>
    <row r="9" spans="1:9" ht="42.75">
      <c r="A9" s="5" t="s">
        <v>273</v>
      </c>
      <c r="B9" s="5" t="s">
        <v>279</v>
      </c>
      <c r="C9" s="5" t="s">
        <v>303</v>
      </c>
      <c r="D9" s="5" t="s">
        <v>291</v>
      </c>
      <c r="E9" s="5" t="s">
        <v>313</v>
      </c>
      <c r="F9" s="14" t="s">
        <v>37</v>
      </c>
      <c r="G9" s="15" t="s">
        <v>186</v>
      </c>
      <c r="H9" s="14" t="s">
        <v>319</v>
      </c>
      <c r="I9" s="5"/>
    </row>
    <row r="10" spans="1:9" ht="57">
      <c r="A10" s="5" t="s">
        <v>274</v>
      </c>
      <c r="B10" s="5" t="s">
        <v>280</v>
      </c>
      <c r="C10" s="5" t="s">
        <v>305</v>
      </c>
      <c r="D10" s="5" t="s">
        <v>292</v>
      </c>
      <c r="E10" s="5" t="s">
        <v>314</v>
      </c>
      <c r="F10" s="14" t="s">
        <v>37</v>
      </c>
      <c r="G10" s="15" t="s">
        <v>321</v>
      </c>
      <c r="H10" s="14" t="s">
        <v>329</v>
      </c>
      <c r="I10" s="5"/>
    </row>
    <row r="11" spans="1:9" ht="57">
      <c r="A11" s="5" t="s">
        <v>275</v>
      </c>
      <c r="B11" s="14" t="s">
        <v>284</v>
      </c>
      <c r="C11" s="5" t="s">
        <v>307</v>
      </c>
      <c r="D11" s="5" t="s">
        <v>293</v>
      </c>
      <c r="E11" s="5" t="s">
        <v>315</v>
      </c>
      <c r="F11" s="14" t="s">
        <v>37</v>
      </c>
      <c r="G11" s="15" t="s">
        <v>325</v>
      </c>
      <c r="H11" s="14" t="s">
        <v>323</v>
      </c>
      <c r="I11" s="5"/>
    </row>
    <row r="12" spans="1:9" ht="99.75">
      <c r="A12" s="5" t="s">
        <v>276</v>
      </c>
      <c r="B12" s="5" t="s">
        <v>278</v>
      </c>
      <c r="C12" s="5" t="s">
        <v>301</v>
      </c>
      <c r="D12" s="5" t="s">
        <v>297</v>
      </c>
      <c r="E12" s="5" t="s">
        <v>316</v>
      </c>
      <c r="F12" s="14" t="s">
        <v>37</v>
      </c>
      <c r="G12" s="15" t="s">
        <v>192</v>
      </c>
      <c r="H12" s="14" t="s">
        <v>286</v>
      </c>
      <c r="I12" s="5"/>
    </row>
    <row r="13" spans="1:9" ht="71.25">
      <c r="A13" s="5" t="s">
        <v>277</v>
      </c>
      <c r="B13" s="5" t="s">
        <v>285</v>
      </c>
      <c r="C13" s="5" t="s">
        <v>306</v>
      </c>
      <c r="D13" s="5" t="s">
        <v>296</v>
      </c>
      <c r="E13" s="14" t="s">
        <v>312</v>
      </c>
      <c r="F13" s="14" t="s">
        <v>37</v>
      </c>
      <c r="G13" s="15" t="s">
        <v>190</v>
      </c>
      <c r="H13" s="14" t="s">
        <v>318</v>
      </c>
      <c r="I13" s="5"/>
    </row>
    <row r="14" spans="1:9">
      <c r="A14" s="5"/>
      <c r="B14" s="5"/>
      <c r="C14" s="5"/>
      <c r="D14" s="5"/>
      <c r="E14" s="5"/>
      <c r="F14" s="5" t="s">
        <v>46</v>
      </c>
      <c r="G14" s="5"/>
      <c r="H14" s="5"/>
      <c r="I14" s="5"/>
    </row>
    <row r="15" spans="1:9">
      <c r="A15" s="5"/>
      <c r="B15" s="5"/>
      <c r="C15" s="5"/>
      <c r="D15" s="5"/>
      <c r="E15" s="5"/>
      <c r="F15" s="5" t="s">
        <v>46</v>
      </c>
      <c r="G15" s="5"/>
      <c r="H15" s="5"/>
      <c r="I15" s="5"/>
    </row>
    <row r="16" spans="1:9">
      <c r="A16" s="5"/>
      <c r="B16" s="5"/>
      <c r="C16" s="5"/>
      <c r="D16" s="5"/>
      <c r="E16" s="5"/>
      <c r="F16" s="5" t="s">
        <v>46</v>
      </c>
      <c r="G16" s="5"/>
      <c r="H16" s="5"/>
      <c r="I16" s="5"/>
    </row>
    <row r="17" spans="1:9">
      <c r="A17" s="5"/>
      <c r="B17" s="5"/>
      <c r="C17" s="5"/>
      <c r="D17" s="5"/>
      <c r="E17" s="5"/>
      <c r="F17" s="5" t="s">
        <v>46</v>
      </c>
      <c r="G17" s="5"/>
      <c r="H17" s="5"/>
      <c r="I17" s="5"/>
    </row>
    <row r="18" spans="1:9">
      <c r="A18" s="5"/>
      <c r="B18" s="5"/>
      <c r="C18" s="5"/>
      <c r="D18" s="5"/>
      <c r="E18" s="5"/>
      <c r="F18" s="5" t="s">
        <v>46</v>
      </c>
      <c r="G18" s="5"/>
      <c r="H18" s="5"/>
      <c r="I18" s="5"/>
    </row>
    <row r="19" spans="1:9">
      <c r="A19" s="5"/>
      <c r="B19" s="5"/>
      <c r="C19" s="5"/>
      <c r="D19" s="5"/>
      <c r="E19" s="5"/>
      <c r="F19" s="5" t="s">
        <v>46</v>
      </c>
      <c r="G19" s="5"/>
      <c r="H19" s="5"/>
      <c r="I19" s="5"/>
    </row>
    <row r="20" spans="1:9">
      <c r="A20" s="5"/>
      <c r="B20" s="5"/>
      <c r="C20" s="5"/>
      <c r="D20" s="5"/>
      <c r="E20" s="5"/>
      <c r="F20" s="5" t="s">
        <v>46</v>
      </c>
      <c r="G20" s="5"/>
      <c r="H20" s="5"/>
      <c r="I20" s="5"/>
    </row>
    <row r="21" spans="1:9">
      <c r="A21" s="5"/>
      <c r="B21" s="5"/>
      <c r="C21" s="5"/>
      <c r="D21" s="5"/>
      <c r="E21" s="5"/>
      <c r="F21" s="5" t="s">
        <v>46</v>
      </c>
      <c r="G21" s="5"/>
      <c r="H21" s="5"/>
      <c r="I21" s="5"/>
    </row>
    <row r="22" spans="1:9">
      <c r="A22" s="5"/>
      <c r="B22" s="5"/>
      <c r="C22" s="5"/>
      <c r="D22" s="5"/>
      <c r="E22" s="5"/>
      <c r="F22" s="5" t="s">
        <v>46</v>
      </c>
      <c r="G22" s="5"/>
      <c r="H22" s="5"/>
      <c r="I22" s="5"/>
    </row>
    <row r="23" spans="1:9">
      <c r="A23" s="5"/>
      <c r="B23" s="5"/>
      <c r="C23" s="5"/>
      <c r="D23" s="5"/>
      <c r="E23" s="5"/>
      <c r="F23" s="5" t="s">
        <v>46</v>
      </c>
      <c r="G23" s="5"/>
      <c r="H23" s="5"/>
      <c r="I23" s="5"/>
    </row>
  </sheetData>
  <mergeCells count="1">
    <mergeCell ref="A1:I1"/>
  </mergeCells>
  <conditionalFormatting sqref="F4:F23">
    <cfRule type="expression" dxfId="3" priority="1">
      <formula>F4="Completed"</formula>
    </cfRule>
    <cfRule type="expression" dxfId="2" priority="2">
      <formula>F4="Blocked"</formula>
    </cfRule>
  </conditionalFormatting>
  <dataValidations count="1">
    <dataValidation type="list" sqref="F4:F23">
      <formula1>"Not Started,In Progress,Completed,Blocked"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tabSelected="1" topLeftCell="B2" zoomScaleNormal="100" workbookViewId="0">
      <selection activeCell="E5" sqref="E5"/>
    </sheetView>
  </sheetViews>
  <sheetFormatPr defaultRowHeight="14.25"/>
  <cols>
    <col min="1" max="1" width="12" customWidth="1"/>
    <col min="2" max="2" width="22" customWidth="1"/>
    <col min="3" max="3" width="34" customWidth="1"/>
    <col min="4" max="4" width="22" customWidth="1"/>
    <col min="5" max="5" width="41.75" customWidth="1"/>
    <col min="6" max="6" width="28" customWidth="1"/>
    <col min="7" max="7" width="23" customWidth="1"/>
    <col min="8" max="8" width="32" customWidth="1"/>
  </cols>
  <sheetData>
    <row r="1" spans="1:8" ht="33.950000000000003" customHeight="1">
      <c r="A1" s="16" t="s">
        <v>115</v>
      </c>
      <c r="B1" s="16"/>
      <c r="C1" s="16"/>
      <c r="D1" s="16"/>
      <c r="E1" s="16"/>
      <c r="F1" s="16"/>
      <c r="G1" s="16"/>
      <c r="H1" s="16"/>
    </row>
    <row r="3" spans="1:8" ht="30" customHeight="1">
      <c r="A3" s="1" t="s">
        <v>116</v>
      </c>
      <c r="B3" s="1" t="s">
        <v>117</v>
      </c>
      <c r="C3" s="1" t="s">
        <v>118</v>
      </c>
      <c r="D3" s="1" t="s">
        <v>119</v>
      </c>
      <c r="E3" s="1" t="s">
        <v>120</v>
      </c>
      <c r="F3" s="1" t="s">
        <v>121</v>
      </c>
      <c r="G3" s="1" t="s">
        <v>122</v>
      </c>
      <c r="H3" s="1" t="s">
        <v>123</v>
      </c>
    </row>
    <row r="4" spans="1:8" ht="28.5">
      <c r="A4" s="14" t="s">
        <v>60</v>
      </c>
      <c r="B4" s="5" t="s">
        <v>61</v>
      </c>
      <c r="C4" s="5" t="s">
        <v>340</v>
      </c>
      <c r="D4" s="5" t="s">
        <v>332</v>
      </c>
      <c r="E4" s="25" t="s">
        <v>343</v>
      </c>
      <c r="F4" s="5" t="s">
        <v>351</v>
      </c>
      <c r="G4" s="5" t="s">
        <v>192</v>
      </c>
      <c r="H4" s="5"/>
    </row>
    <row r="5" spans="1:8" ht="43.5" customHeight="1">
      <c r="A5" s="14" t="s">
        <v>65</v>
      </c>
      <c r="B5" s="5" t="s">
        <v>66</v>
      </c>
      <c r="C5" s="5" t="s">
        <v>221</v>
      </c>
      <c r="D5" s="5" t="s">
        <v>334</v>
      </c>
      <c r="E5" s="25" t="s">
        <v>341</v>
      </c>
      <c r="F5" s="5" t="s">
        <v>352</v>
      </c>
      <c r="G5" s="5" t="s">
        <v>187</v>
      </c>
      <c r="H5" s="5"/>
    </row>
    <row r="6" spans="1:8" ht="32.25" customHeight="1">
      <c r="A6" s="14" t="s">
        <v>70</v>
      </c>
      <c r="B6" s="5" t="s">
        <v>71</v>
      </c>
      <c r="C6" s="5" t="s">
        <v>338</v>
      </c>
      <c r="D6" s="5" t="s">
        <v>334</v>
      </c>
      <c r="E6" s="25" t="s">
        <v>342</v>
      </c>
      <c r="F6" s="5" t="s">
        <v>353</v>
      </c>
      <c r="G6" s="5" t="s">
        <v>188</v>
      </c>
      <c r="H6" s="5"/>
    </row>
    <row r="7" spans="1:8" ht="28.5">
      <c r="A7" s="14" t="s">
        <v>75</v>
      </c>
      <c r="B7" s="5" t="s">
        <v>76</v>
      </c>
      <c r="C7" s="14" t="s">
        <v>336</v>
      </c>
      <c r="D7" s="5" t="s">
        <v>334</v>
      </c>
      <c r="E7" s="14" t="s">
        <v>342</v>
      </c>
      <c r="F7" s="5" t="s">
        <v>355</v>
      </c>
      <c r="G7" s="5" t="s">
        <v>322</v>
      </c>
      <c r="H7" s="5"/>
    </row>
    <row r="8" spans="1:8" ht="42.75">
      <c r="A8" s="5" t="s">
        <v>78</v>
      </c>
      <c r="B8" s="5" t="s">
        <v>76</v>
      </c>
      <c r="C8" s="14" t="s">
        <v>337</v>
      </c>
      <c r="D8" s="5" t="s">
        <v>334</v>
      </c>
      <c r="E8" s="25" t="s">
        <v>341</v>
      </c>
      <c r="F8" s="5" t="s">
        <v>354</v>
      </c>
      <c r="G8" s="5" t="s">
        <v>349</v>
      </c>
      <c r="H8" s="5"/>
    </row>
    <row r="9" spans="1:8" ht="42.75">
      <c r="A9" s="5" t="s">
        <v>82</v>
      </c>
      <c r="B9" s="5" t="s">
        <v>83</v>
      </c>
      <c r="C9" s="5" t="s">
        <v>216</v>
      </c>
      <c r="D9" s="5" t="s">
        <v>333</v>
      </c>
      <c r="E9" s="25" t="s">
        <v>345</v>
      </c>
      <c r="F9" s="5" t="s">
        <v>356</v>
      </c>
      <c r="G9" s="5" t="s">
        <v>350</v>
      </c>
      <c r="H9" s="5"/>
    </row>
    <row r="10" spans="1:8" ht="42.75">
      <c r="A10" s="14" t="s">
        <v>85</v>
      </c>
      <c r="B10" s="5" t="s">
        <v>86</v>
      </c>
      <c r="C10" s="5" t="s">
        <v>339</v>
      </c>
      <c r="D10" s="5" t="s">
        <v>335</v>
      </c>
      <c r="E10" s="25" t="s">
        <v>344</v>
      </c>
      <c r="F10" s="15" t="s">
        <v>357</v>
      </c>
      <c r="G10" s="5" t="s">
        <v>193</v>
      </c>
      <c r="H10" s="5"/>
    </row>
    <row r="11" spans="1:8" ht="28.5">
      <c r="A11" s="14" t="s">
        <v>88</v>
      </c>
      <c r="B11" s="5" t="s">
        <v>89</v>
      </c>
      <c r="C11" s="5" t="s">
        <v>346</v>
      </c>
      <c r="D11" s="5" t="s">
        <v>334</v>
      </c>
      <c r="E11" s="25" t="s">
        <v>167</v>
      </c>
      <c r="F11" s="15" t="s">
        <v>358</v>
      </c>
      <c r="G11" s="5" t="s">
        <v>185</v>
      </c>
      <c r="H11" s="5"/>
    </row>
    <row r="12" spans="1:8" ht="28.5">
      <c r="A12" s="14" t="s">
        <v>91</v>
      </c>
      <c r="B12" s="5" t="s">
        <v>92</v>
      </c>
      <c r="C12" s="5" t="s">
        <v>347</v>
      </c>
      <c r="D12" s="5" t="s">
        <v>335</v>
      </c>
      <c r="E12" s="25" t="s">
        <v>348</v>
      </c>
      <c r="F12" s="15" t="s">
        <v>359</v>
      </c>
      <c r="G12" s="5" t="s">
        <v>186</v>
      </c>
      <c r="H12" s="5"/>
    </row>
    <row r="13" spans="1:8">
      <c r="A13" s="5"/>
      <c r="B13" s="5"/>
      <c r="C13" s="5"/>
      <c r="D13" s="5"/>
      <c r="E13" s="5"/>
      <c r="F13" s="5"/>
      <c r="G13" s="5"/>
      <c r="H13" s="5"/>
    </row>
    <row r="14" spans="1:8">
      <c r="A14" s="5"/>
      <c r="B14" s="5"/>
      <c r="C14" s="5"/>
      <c r="D14" s="5"/>
      <c r="E14" s="5"/>
      <c r="F14" s="5"/>
      <c r="G14" s="5"/>
      <c r="H14" s="5"/>
    </row>
    <row r="15" spans="1:8">
      <c r="A15" s="5"/>
      <c r="B15" s="5"/>
      <c r="C15" s="5"/>
      <c r="D15" s="5"/>
      <c r="E15" s="5"/>
      <c r="F15" s="5"/>
      <c r="G15" s="5"/>
      <c r="H15" s="5"/>
    </row>
    <row r="16" spans="1:8">
      <c r="A16" s="5"/>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row r="20" spans="1:8">
      <c r="A20" s="5"/>
      <c r="B20" s="5"/>
      <c r="C20" s="5"/>
      <c r="D20" s="5"/>
      <c r="E20" s="5"/>
      <c r="F20" s="5"/>
      <c r="G20" s="5"/>
      <c r="H20" s="5"/>
    </row>
    <row r="21" spans="1:8">
      <c r="A21" s="5"/>
      <c r="B21" s="5"/>
      <c r="C21" s="5"/>
      <c r="D21" s="5"/>
      <c r="E21" s="5"/>
      <c r="F21" s="5"/>
      <c r="G21" s="5"/>
      <c r="H21" s="5"/>
    </row>
    <row r="22" spans="1:8">
      <c r="A22" s="5"/>
      <c r="B22" s="5"/>
      <c r="C22" s="5"/>
      <c r="D22" s="5"/>
      <c r="E22" s="5"/>
      <c r="F22" s="5"/>
      <c r="G22" s="5"/>
      <c r="H22" s="5"/>
    </row>
    <row r="23" spans="1:8">
      <c r="A23" s="5"/>
      <c r="B23" s="5"/>
      <c r="C23" s="5"/>
      <c r="D23" s="5"/>
      <c r="E23" s="5"/>
      <c r="F23" s="5"/>
      <c r="G23" s="5"/>
      <c r="H23" s="5"/>
    </row>
    <row r="24" spans="1:8">
      <c r="A24" s="5"/>
      <c r="B24" s="5"/>
      <c r="C24" s="5"/>
      <c r="D24" s="5"/>
      <c r="E24" s="5"/>
      <c r="F24" s="5"/>
      <c r="G24" s="5"/>
      <c r="H24" s="5"/>
    </row>
    <row r="25" spans="1:8">
      <c r="A25" s="5"/>
      <c r="B25" s="5"/>
      <c r="C25" s="5"/>
      <c r="D25" s="5"/>
      <c r="E25" s="5"/>
      <c r="F25" s="5"/>
      <c r="G25" s="5"/>
      <c r="H25" s="5"/>
    </row>
    <row r="26" spans="1:8">
      <c r="A26" s="5"/>
      <c r="B26" s="5"/>
      <c r="C26" s="5"/>
      <c r="D26" s="5"/>
      <c r="E26" s="5"/>
      <c r="F26" s="5"/>
      <c r="G26" s="5"/>
      <c r="H26" s="5"/>
    </row>
    <row r="27" spans="1:8">
      <c r="A27" s="5"/>
      <c r="B27" s="5"/>
      <c r="C27" s="5"/>
      <c r="D27" s="5"/>
      <c r="E27" s="5"/>
      <c r="F27" s="5"/>
      <c r="G27" s="5"/>
      <c r="H27" s="5"/>
    </row>
    <row r="28" spans="1:8">
      <c r="A28" s="5"/>
      <c r="B28" s="5"/>
      <c r="C28" s="5"/>
      <c r="D28" s="5"/>
      <c r="E28" s="5"/>
      <c r="F28" s="5"/>
      <c r="G28" s="5"/>
      <c r="H28" s="5"/>
    </row>
    <row r="29" spans="1:8">
      <c r="A29" s="5"/>
      <c r="B29" s="5"/>
      <c r="C29" s="5"/>
      <c r="D29" s="5"/>
      <c r="E29" s="5"/>
      <c r="F29" s="5"/>
      <c r="G29" s="5"/>
      <c r="H29" s="5"/>
    </row>
    <row r="30" spans="1:8">
      <c r="A30" s="5"/>
      <c r="B30" s="5"/>
      <c r="C30" s="5"/>
      <c r="D30" s="5"/>
      <c r="E30" s="5"/>
      <c r="F30" s="5"/>
      <c r="G30" s="5"/>
      <c r="H30" s="5"/>
    </row>
    <row r="31" spans="1:8">
      <c r="A31" s="5"/>
      <c r="B31" s="5"/>
      <c r="C31" s="5"/>
      <c r="D31" s="5"/>
      <c r="E31" s="5"/>
      <c r="F31" s="5"/>
      <c r="G31" s="5"/>
      <c r="H31" s="5"/>
    </row>
    <row r="32" spans="1:8">
      <c r="A32" s="5"/>
      <c r="B32" s="5"/>
      <c r="C32" s="5"/>
      <c r="D32" s="5"/>
      <c r="E32" s="5"/>
      <c r="F32" s="5"/>
      <c r="G32" s="5"/>
      <c r="H32" s="5"/>
    </row>
    <row r="33" spans="1:8">
      <c r="A33" s="5"/>
      <c r="B33" s="5"/>
      <c r="C33" s="5"/>
      <c r="D33" s="5"/>
      <c r="E33" s="5"/>
      <c r="F33" s="5"/>
      <c r="G33" s="5"/>
      <c r="H33" s="5"/>
    </row>
  </sheetData>
  <mergeCells count="1">
    <mergeCell ref="A1:H1"/>
  </mergeCells>
  <dataValidations count="2">
    <dataValidation type="list" sqref="B4:B33">
      <formula1>"Supabase Backend,Flutter,ASP.NET,Integration,SRS,Microsoft Project,GitHub,Final Demonstration,Other"</formula1>
    </dataValidation>
    <dataValidation type="list" sqref="D4:D33">
      <formula1>"Screenshot,Short Recording,GitHub Commit/PR,SRS Section,Supabase Evidence,Other"</formula1>
    </dataValidation>
  </dataValidations>
  <hyperlinks>
    <hyperlink ref="E5" r:id="rId1"/>
    <hyperlink ref="E6" r:id="rId2"/>
    <hyperlink ref="E4" r:id="rId3"/>
    <hyperlink ref="E8" r:id="rId4"/>
    <hyperlink ref="E10" r:id="rId5"/>
    <hyperlink ref="E11" r:id="rId6"/>
    <hyperlink ref="E9" r:id="rId7"/>
    <hyperlink ref="E12" r:id="rId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D6" sqref="D6"/>
    </sheetView>
  </sheetViews>
  <sheetFormatPr defaultRowHeight="14.25"/>
  <cols>
    <col min="1" max="1" width="15" customWidth="1"/>
    <col min="2" max="3" width="34" customWidth="1"/>
    <col min="4" max="4" width="40" customWidth="1"/>
    <col min="5" max="5" width="24" customWidth="1"/>
    <col min="6" max="8" width="15" customWidth="1"/>
    <col min="9" max="9" width="34" customWidth="1"/>
  </cols>
  <sheetData>
    <row r="1" spans="1:9" ht="33.950000000000003" customHeight="1">
      <c r="A1" s="16" t="s">
        <v>124</v>
      </c>
      <c r="B1" s="16"/>
      <c r="C1" s="16"/>
      <c r="D1" s="16"/>
      <c r="E1" s="16"/>
      <c r="F1" s="16"/>
      <c r="G1" s="16"/>
      <c r="H1" s="16"/>
      <c r="I1" s="16"/>
    </row>
    <row r="3" spans="1:9" ht="30" customHeight="1">
      <c r="A3" s="1" t="s">
        <v>125</v>
      </c>
      <c r="B3" s="1" t="s">
        <v>126</v>
      </c>
      <c r="C3" s="1" t="s">
        <v>127</v>
      </c>
      <c r="D3" s="1" t="s">
        <v>128</v>
      </c>
      <c r="E3" s="1" t="s">
        <v>122</v>
      </c>
      <c r="F3" s="1" t="s">
        <v>129</v>
      </c>
      <c r="G3" s="1" t="s">
        <v>56</v>
      </c>
      <c r="H3" s="1" t="s">
        <v>130</v>
      </c>
      <c r="I3" s="1" t="s">
        <v>131</v>
      </c>
    </row>
    <row r="4" spans="1:9" ht="71.25">
      <c r="A4" s="13">
        <v>46317</v>
      </c>
      <c r="B4" s="12" t="s">
        <v>239</v>
      </c>
      <c r="C4" s="5" t="s">
        <v>242</v>
      </c>
      <c r="D4" s="12" t="s">
        <v>240</v>
      </c>
      <c r="E4" s="6" t="s">
        <v>185</v>
      </c>
      <c r="F4" s="13">
        <v>46317</v>
      </c>
      <c r="G4" s="5" t="s">
        <v>37</v>
      </c>
      <c r="H4" s="13">
        <v>46327</v>
      </c>
      <c r="I4" s="5"/>
    </row>
    <row r="5" spans="1:9" ht="71.25">
      <c r="A5" s="13">
        <v>46313</v>
      </c>
      <c r="B5" s="12" t="s">
        <v>247</v>
      </c>
      <c r="C5" s="5" t="s">
        <v>248</v>
      </c>
      <c r="D5" s="5" t="s">
        <v>249</v>
      </c>
      <c r="E5" s="6" t="s">
        <v>186</v>
      </c>
      <c r="F5" s="13">
        <v>46313</v>
      </c>
      <c r="G5" s="5" t="s">
        <v>37</v>
      </c>
      <c r="H5" s="13">
        <v>46327</v>
      </c>
      <c r="I5" s="5"/>
    </row>
    <row r="6" spans="1:9" ht="42.75">
      <c r="A6" s="13">
        <v>46320</v>
      </c>
      <c r="B6" s="12" t="s">
        <v>253</v>
      </c>
      <c r="C6" s="5" t="s">
        <v>254</v>
      </c>
      <c r="D6" s="12" t="s">
        <v>255</v>
      </c>
      <c r="E6" s="6" t="s">
        <v>187</v>
      </c>
      <c r="F6" s="13">
        <v>46320</v>
      </c>
      <c r="G6" s="5" t="s">
        <v>37</v>
      </c>
      <c r="H6" s="13">
        <v>46327</v>
      </c>
      <c r="I6" s="5"/>
    </row>
    <row r="7" spans="1:9" ht="42.75">
      <c r="A7" s="13">
        <v>46317</v>
      </c>
      <c r="B7" s="12" t="s">
        <v>256</v>
      </c>
      <c r="C7" s="5" t="s">
        <v>257</v>
      </c>
      <c r="D7" s="5" t="s">
        <v>258</v>
      </c>
      <c r="E7" s="6" t="s">
        <v>188</v>
      </c>
      <c r="F7" s="13">
        <v>46317</v>
      </c>
      <c r="G7" s="5" t="s">
        <v>37</v>
      </c>
      <c r="H7" s="13">
        <v>46327</v>
      </c>
      <c r="I7" s="5"/>
    </row>
    <row r="8" spans="1:9" ht="57">
      <c r="A8" s="13">
        <v>46321</v>
      </c>
      <c r="B8" s="12" t="s">
        <v>262</v>
      </c>
      <c r="C8" s="5" t="s">
        <v>263</v>
      </c>
      <c r="D8" s="5" t="s">
        <v>264</v>
      </c>
      <c r="E8" s="6" t="s">
        <v>189</v>
      </c>
      <c r="F8" s="13">
        <v>46321</v>
      </c>
      <c r="G8" s="5" t="s">
        <v>37</v>
      </c>
      <c r="H8" s="13">
        <v>46327</v>
      </c>
      <c r="I8" s="5"/>
    </row>
    <row r="9" spans="1:9" ht="85.5">
      <c r="A9" s="13">
        <v>46316</v>
      </c>
      <c r="B9" s="12" t="s">
        <v>241</v>
      </c>
      <c r="C9" s="5" t="s">
        <v>246</v>
      </c>
      <c r="D9" s="5" t="s">
        <v>245</v>
      </c>
      <c r="E9" s="6" t="s">
        <v>190</v>
      </c>
      <c r="F9" s="13">
        <v>46316</v>
      </c>
      <c r="G9" s="5" t="s">
        <v>37</v>
      </c>
      <c r="H9" s="13">
        <v>46327</v>
      </c>
      <c r="I9" s="5"/>
    </row>
    <row r="10" spans="1:9" ht="57">
      <c r="A10" s="13">
        <v>46319</v>
      </c>
      <c r="B10" s="12" t="s">
        <v>259</v>
      </c>
      <c r="C10" s="5" t="s">
        <v>260</v>
      </c>
      <c r="D10" s="5" t="s">
        <v>261</v>
      </c>
      <c r="E10" s="6" t="s">
        <v>191</v>
      </c>
      <c r="F10" s="13">
        <v>46319</v>
      </c>
      <c r="G10" s="5" t="s">
        <v>37</v>
      </c>
      <c r="H10" s="13">
        <v>46327</v>
      </c>
      <c r="I10" s="5"/>
    </row>
    <row r="11" spans="1:9" ht="71.25">
      <c r="A11" s="13">
        <v>46315</v>
      </c>
      <c r="B11" s="12" t="s">
        <v>250</v>
      </c>
      <c r="C11" s="5" t="s">
        <v>251</v>
      </c>
      <c r="D11" s="5" t="s">
        <v>252</v>
      </c>
      <c r="E11" s="6" t="s">
        <v>192</v>
      </c>
      <c r="F11" s="13">
        <v>46315</v>
      </c>
      <c r="G11" s="5" t="s">
        <v>37</v>
      </c>
      <c r="H11" s="13">
        <v>46327</v>
      </c>
      <c r="I11" s="5"/>
    </row>
    <row r="12" spans="1:9" ht="57">
      <c r="A12" s="13">
        <v>46314</v>
      </c>
      <c r="B12" s="12" t="s">
        <v>243</v>
      </c>
      <c r="C12" s="5" t="s">
        <v>244</v>
      </c>
      <c r="D12" s="12" t="s">
        <v>238</v>
      </c>
      <c r="E12" s="6" t="s">
        <v>193</v>
      </c>
      <c r="F12" s="13">
        <v>46314</v>
      </c>
      <c r="G12" s="5" t="s">
        <v>37</v>
      </c>
      <c r="H12" s="13">
        <v>46327</v>
      </c>
      <c r="I12" s="5"/>
    </row>
    <row r="13" spans="1:9" ht="42.75">
      <c r="A13" s="13">
        <v>46317</v>
      </c>
      <c r="B13" s="12" t="s">
        <v>265</v>
      </c>
      <c r="C13" s="5" t="s">
        <v>266</v>
      </c>
      <c r="D13" s="5" t="s">
        <v>267</v>
      </c>
      <c r="E13" s="6" t="s">
        <v>194</v>
      </c>
      <c r="F13" s="13">
        <v>46317</v>
      </c>
      <c r="G13" s="5" t="s">
        <v>37</v>
      </c>
      <c r="H13" s="13">
        <v>46327</v>
      </c>
      <c r="I13" s="5"/>
    </row>
    <row r="14" spans="1:9">
      <c r="A14" s="5"/>
      <c r="B14" s="5"/>
      <c r="C14" s="5"/>
      <c r="D14" s="5"/>
      <c r="E14" s="5"/>
      <c r="F14" s="5"/>
      <c r="G14" s="5" t="s">
        <v>46</v>
      </c>
      <c r="H14" s="5"/>
      <c r="I14" s="5"/>
    </row>
    <row r="15" spans="1:9">
      <c r="A15" s="5"/>
      <c r="B15" s="5"/>
      <c r="C15" s="5"/>
      <c r="D15" s="5"/>
      <c r="E15" s="5"/>
      <c r="F15" s="5"/>
      <c r="G15" s="5" t="s">
        <v>46</v>
      </c>
      <c r="H15" s="5"/>
      <c r="I15" s="5"/>
    </row>
    <row r="16" spans="1:9">
      <c r="A16" s="5"/>
      <c r="B16" s="5"/>
      <c r="C16" s="5"/>
      <c r="D16" s="5"/>
      <c r="E16" s="5"/>
      <c r="F16" s="5"/>
      <c r="G16" s="5" t="s">
        <v>46</v>
      </c>
      <c r="H16" s="5"/>
      <c r="I16" s="5"/>
    </row>
    <row r="17" spans="1:9">
      <c r="A17" s="5"/>
      <c r="B17" s="5"/>
      <c r="C17" s="5"/>
      <c r="D17" s="5"/>
      <c r="E17" s="5"/>
      <c r="F17" s="5"/>
      <c r="G17" s="5" t="s">
        <v>46</v>
      </c>
      <c r="H17" s="5"/>
      <c r="I17" s="5"/>
    </row>
    <row r="18" spans="1:9">
      <c r="A18" s="5"/>
      <c r="B18" s="5"/>
      <c r="C18" s="5"/>
      <c r="D18" s="5"/>
      <c r="E18" s="5"/>
      <c r="F18" s="5"/>
      <c r="G18" s="5" t="s">
        <v>46</v>
      </c>
      <c r="H18" s="5"/>
      <c r="I18" s="5"/>
    </row>
    <row r="19" spans="1:9">
      <c r="A19" s="5"/>
      <c r="B19" s="5"/>
      <c r="C19" s="5"/>
      <c r="D19" s="5"/>
      <c r="E19" s="5"/>
      <c r="F19" s="5"/>
      <c r="G19" s="5" t="s">
        <v>46</v>
      </c>
      <c r="H19" s="5"/>
      <c r="I19" s="5"/>
    </row>
    <row r="20" spans="1:9">
      <c r="A20" s="5"/>
      <c r="B20" s="5"/>
      <c r="C20" s="5"/>
      <c r="D20" s="5"/>
      <c r="E20" s="5"/>
      <c r="F20" s="5"/>
      <c r="G20" s="5" t="s">
        <v>46</v>
      </c>
      <c r="H20" s="5"/>
      <c r="I20" s="5"/>
    </row>
    <row r="21" spans="1:9">
      <c r="A21" s="5"/>
      <c r="B21" s="5"/>
      <c r="C21" s="5"/>
      <c r="D21" s="5"/>
      <c r="E21" s="5"/>
      <c r="F21" s="5"/>
      <c r="G21" s="5" t="s">
        <v>46</v>
      </c>
      <c r="H21" s="5"/>
      <c r="I21" s="5"/>
    </row>
    <row r="22" spans="1:9">
      <c r="A22" s="5"/>
      <c r="B22" s="5"/>
      <c r="C22" s="5"/>
      <c r="D22" s="5"/>
      <c r="E22" s="5"/>
      <c r="F22" s="5"/>
      <c r="G22" s="5" t="s">
        <v>46</v>
      </c>
      <c r="H22" s="5"/>
      <c r="I22" s="5"/>
    </row>
    <row r="23" spans="1:9">
      <c r="A23" s="5"/>
      <c r="B23" s="5"/>
      <c r="C23" s="5"/>
      <c r="D23" s="5"/>
      <c r="E23" s="5"/>
      <c r="F23" s="5"/>
      <c r="G23" s="5" t="s">
        <v>46</v>
      </c>
      <c r="H23" s="5"/>
      <c r="I23" s="5"/>
    </row>
    <row r="24" spans="1:9">
      <c r="A24" s="5"/>
      <c r="B24" s="5"/>
      <c r="C24" s="5"/>
      <c r="D24" s="5"/>
      <c r="E24" s="5"/>
      <c r="F24" s="5"/>
      <c r="G24" s="5" t="s">
        <v>46</v>
      </c>
      <c r="H24" s="5"/>
      <c r="I24" s="5"/>
    </row>
    <row r="25" spans="1:9">
      <c r="A25" s="5"/>
      <c r="B25" s="5"/>
      <c r="C25" s="5"/>
      <c r="D25" s="5"/>
      <c r="E25" s="5"/>
      <c r="F25" s="5"/>
      <c r="G25" s="5" t="s">
        <v>46</v>
      </c>
      <c r="H25" s="5"/>
      <c r="I25" s="5"/>
    </row>
    <row r="26" spans="1:9">
      <c r="A26" s="5"/>
      <c r="B26" s="5"/>
      <c r="C26" s="5"/>
      <c r="D26" s="5"/>
      <c r="E26" s="5"/>
      <c r="F26" s="5"/>
      <c r="G26" s="5" t="s">
        <v>46</v>
      </c>
      <c r="H26" s="5"/>
      <c r="I26" s="5"/>
    </row>
    <row r="27" spans="1:9">
      <c r="A27" s="5"/>
      <c r="B27" s="5"/>
      <c r="C27" s="5"/>
      <c r="D27" s="5"/>
      <c r="E27" s="5"/>
      <c r="F27" s="5"/>
      <c r="G27" s="5" t="s">
        <v>46</v>
      </c>
      <c r="H27" s="5"/>
      <c r="I27" s="5"/>
    </row>
    <row r="28" spans="1:9">
      <c r="A28" s="5"/>
      <c r="B28" s="5"/>
      <c r="C28" s="5"/>
      <c r="D28" s="5"/>
      <c r="E28" s="5"/>
      <c r="F28" s="5"/>
      <c r="G28" s="5" t="s">
        <v>46</v>
      </c>
      <c r="H28" s="5"/>
      <c r="I28" s="5"/>
    </row>
    <row r="29" spans="1:9">
      <c r="A29" s="5"/>
      <c r="B29" s="5"/>
      <c r="C29" s="5"/>
      <c r="D29" s="5"/>
      <c r="E29" s="5"/>
      <c r="F29" s="5"/>
      <c r="G29" s="5" t="s">
        <v>46</v>
      </c>
      <c r="H29" s="5"/>
      <c r="I29" s="5"/>
    </row>
    <row r="30" spans="1:9">
      <c r="A30" s="5"/>
      <c r="B30" s="5"/>
      <c r="C30" s="5"/>
      <c r="D30" s="5"/>
      <c r="E30" s="5"/>
      <c r="F30" s="5"/>
      <c r="G30" s="5" t="s">
        <v>46</v>
      </c>
      <c r="H30" s="5"/>
      <c r="I30" s="5"/>
    </row>
    <row r="31" spans="1:9">
      <c r="A31" s="5"/>
      <c r="B31" s="5"/>
      <c r="C31" s="5"/>
      <c r="D31" s="5"/>
      <c r="E31" s="5"/>
      <c r="F31" s="5"/>
      <c r="G31" s="5" t="s">
        <v>46</v>
      </c>
      <c r="H31" s="5"/>
      <c r="I31" s="5"/>
    </row>
    <row r="32" spans="1:9">
      <c r="A32" s="5"/>
      <c r="B32" s="5"/>
      <c r="C32" s="5"/>
      <c r="D32" s="5"/>
      <c r="E32" s="5"/>
      <c r="F32" s="5"/>
      <c r="G32" s="5" t="s">
        <v>46</v>
      </c>
      <c r="H32" s="5"/>
      <c r="I32" s="5"/>
    </row>
    <row r="33" spans="1:9">
      <c r="A33" s="5"/>
      <c r="B33" s="5"/>
      <c r="C33" s="5"/>
      <c r="D33" s="5"/>
      <c r="E33" s="5"/>
      <c r="F33" s="5"/>
      <c r="G33" s="5" t="s">
        <v>46</v>
      </c>
      <c r="H33" s="5"/>
      <c r="I33" s="5"/>
    </row>
  </sheetData>
  <mergeCells count="1">
    <mergeCell ref="A1:I1"/>
  </mergeCells>
  <conditionalFormatting sqref="G4:G33">
    <cfRule type="expression" dxfId="1" priority="1">
      <formula>G4="Completed"</formula>
    </cfRule>
    <cfRule type="expression" dxfId="0" priority="2">
      <formula>G4="Blocked"</formula>
    </cfRule>
  </conditionalFormatting>
  <dataValidations count="1">
    <dataValidation type="list" sqref="G4:G33">
      <formula1>"Not Started,In Progress,Completed,Blocked"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opLeftCell="A7" workbookViewId="0">
      <selection activeCell="B9" sqref="B9:C9"/>
    </sheetView>
  </sheetViews>
  <sheetFormatPr defaultRowHeight="14.25"/>
  <cols>
    <col min="1" max="1" width="38" customWidth="1"/>
    <col min="2" max="3" width="34" customWidth="1"/>
    <col min="4" max="4" width="4" customWidth="1"/>
    <col min="5" max="5" width="40" customWidth="1"/>
    <col min="6" max="6" width="14" customWidth="1"/>
  </cols>
  <sheetData>
    <row r="1" spans="1:6" ht="33.950000000000003" customHeight="1">
      <c r="A1" s="16" t="s">
        <v>132</v>
      </c>
      <c r="B1" s="16"/>
      <c r="C1" s="16"/>
      <c r="D1" s="16"/>
      <c r="E1" s="16"/>
      <c r="F1" s="16"/>
    </row>
    <row r="3" spans="1:6" ht="30" customHeight="1">
      <c r="A3" s="4" t="s">
        <v>44</v>
      </c>
      <c r="B3" s="21" t="s">
        <v>168</v>
      </c>
      <c r="C3" s="21"/>
      <c r="E3" s="1" t="s">
        <v>133</v>
      </c>
      <c r="F3" s="1" t="s">
        <v>134</v>
      </c>
    </row>
    <row r="4" spans="1:6" ht="15">
      <c r="A4" s="4" t="s">
        <v>45</v>
      </c>
      <c r="B4" s="21" t="s">
        <v>37</v>
      </c>
      <c r="C4" s="21"/>
      <c r="E4" t="s">
        <v>135</v>
      </c>
      <c r="F4" s="5" t="s">
        <v>199</v>
      </c>
    </row>
    <row r="5" spans="1:6" ht="230.25" customHeight="1">
      <c r="A5" s="4" t="s">
        <v>136</v>
      </c>
      <c r="B5" s="21" t="s">
        <v>228</v>
      </c>
      <c r="C5" s="21"/>
      <c r="E5" t="s">
        <v>137</v>
      </c>
      <c r="F5" s="5" t="s">
        <v>199</v>
      </c>
    </row>
    <row r="6" spans="1:6" ht="30">
      <c r="A6" s="4" t="s">
        <v>138</v>
      </c>
      <c r="B6" s="21" t="s">
        <v>222</v>
      </c>
      <c r="C6" s="21"/>
      <c r="E6" t="s">
        <v>139</v>
      </c>
      <c r="F6" s="5" t="s">
        <v>199</v>
      </c>
    </row>
    <row r="7" spans="1:6" ht="15">
      <c r="A7" s="4" t="s">
        <v>140</v>
      </c>
      <c r="B7" s="21" t="s">
        <v>224</v>
      </c>
      <c r="C7" s="21"/>
      <c r="E7" t="s">
        <v>141</v>
      </c>
      <c r="F7" s="5" t="s">
        <v>199</v>
      </c>
    </row>
    <row r="8" spans="1:6" ht="223.5" customHeight="1">
      <c r="A8" s="4" t="s">
        <v>142</v>
      </c>
      <c r="B8" s="22" t="s">
        <v>230</v>
      </c>
      <c r="C8" s="22" t="s">
        <v>225</v>
      </c>
      <c r="E8" t="s">
        <v>143</v>
      </c>
      <c r="F8" s="5" t="s">
        <v>199</v>
      </c>
    </row>
    <row r="9" spans="1:6" ht="97.5" customHeight="1">
      <c r="A9" s="4" t="s">
        <v>144</v>
      </c>
      <c r="B9" s="22" t="s">
        <v>229</v>
      </c>
      <c r="C9" s="22" t="s">
        <v>223</v>
      </c>
      <c r="E9" t="s">
        <v>145</v>
      </c>
      <c r="F9" s="5" t="s">
        <v>199</v>
      </c>
    </row>
    <row r="10" spans="1:6" ht="30">
      <c r="A10" s="4" t="s">
        <v>146</v>
      </c>
      <c r="B10" s="21" t="s">
        <v>226</v>
      </c>
      <c r="C10" s="21"/>
      <c r="E10" t="s">
        <v>147</v>
      </c>
      <c r="F10" s="5" t="s">
        <v>199</v>
      </c>
    </row>
    <row r="11" spans="1:6" ht="48.75" customHeight="1">
      <c r="A11" s="4" t="s">
        <v>148</v>
      </c>
      <c r="B11" s="21" t="s">
        <v>227</v>
      </c>
      <c r="C11" s="21"/>
      <c r="E11" t="s">
        <v>149</v>
      </c>
      <c r="F11" s="5" t="s">
        <v>199</v>
      </c>
    </row>
    <row r="12" spans="1:6">
      <c r="E12" t="s">
        <v>150</v>
      </c>
      <c r="F12" s="5" t="s">
        <v>199</v>
      </c>
    </row>
    <row r="13" spans="1:6">
      <c r="E13" t="s">
        <v>151</v>
      </c>
      <c r="F13" s="5" t="s">
        <v>199</v>
      </c>
    </row>
    <row r="14" spans="1:6">
      <c r="E14" t="s">
        <v>152</v>
      </c>
      <c r="F14" s="5" t="s">
        <v>199</v>
      </c>
    </row>
    <row r="15" spans="1:6">
      <c r="E15" t="s">
        <v>153</v>
      </c>
      <c r="F15" s="5" t="s">
        <v>199</v>
      </c>
    </row>
    <row r="16" spans="1:6">
      <c r="E16" t="s">
        <v>154</v>
      </c>
      <c r="F16" s="5" t="s">
        <v>199</v>
      </c>
    </row>
    <row r="17" spans="5:6">
      <c r="E17" t="s">
        <v>155</v>
      </c>
      <c r="F17" s="5" t="s">
        <v>199</v>
      </c>
    </row>
  </sheetData>
  <mergeCells count="10">
    <mergeCell ref="A1:F1"/>
    <mergeCell ref="B3:C3"/>
    <mergeCell ref="B4:C4"/>
    <mergeCell ref="B5:C5"/>
    <mergeCell ref="B6:C6"/>
    <mergeCell ref="B7:C7"/>
    <mergeCell ref="B8:C8"/>
    <mergeCell ref="B9:C9"/>
    <mergeCell ref="B10:C10"/>
    <mergeCell ref="B11:C11"/>
  </mergeCells>
  <dataValidations count="3">
    <dataValidation type="list" sqref="B4">
      <formula1>"Not Started,In Progress,Completed,Blocked"</formula1>
    </dataValidation>
    <dataValidation type="list" sqref="B10">
      <formula1>"Yes,No"</formula1>
    </dataValidation>
    <dataValidation type="list" sqref="F4:F17">
      <formula1>"Yes,No"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opLeftCell="A4" workbookViewId="0">
      <selection activeCell="A8" sqref="A8:F9"/>
    </sheetView>
  </sheetViews>
  <sheetFormatPr defaultRowHeight="14.25"/>
  <cols>
    <col min="1" max="6" width="24" customWidth="1"/>
  </cols>
  <sheetData>
    <row r="1" spans="1:6" ht="33.950000000000003" customHeight="1">
      <c r="A1" s="16" t="s">
        <v>156</v>
      </c>
      <c r="B1" s="16"/>
      <c r="C1" s="16"/>
      <c r="D1" s="16"/>
      <c r="E1" s="16"/>
      <c r="F1" s="16"/>
    </row>
    <row r="3" spans="1:6" ht="27.95" customHeight="1">
      <c r="A3" s="23" t="s">
        <v>157</v>
      </c>
      <c r="B3" s="23"/>
      <c r="C3" s="23"/>
      <c r="D3" s="23"/>
      <c r="E3" s="23"/>
      <c r="F3" s="23"/>
    </row>
    <row r="4" spans="1:6" ht="38.1" customHeight="1">
      <c r="A4" s="21" t="s">
        <v>231</v>
      </c>
      <c r="B4" s="21"/>
      <c r="C4" s="21"/>
      <c r="D4" s="21"/>
      <c r="E4" s="21"/>
      <c r="F4" s="21"/>
    </row>
    <row r="5" spans="1:6" ht="38.1" customHeight="1">
      <c r="A5" s="21"/>
      <c r="B5" s="21"/>
      <c r="C5" s="21"/>
      <c r="D5" s="21"/>
      <c r="E5" s="21"/>
      <c r="F5" s="21"/>
    </row>
    <row r="7" spans="1:6" ht="27.95" customHeight="1">
      <c r="A7" s="23" t="s">
        <v>158</v>
      </c>
      <c r="B7" s="23"/>
      <c r="C7" s="23"/>
      <c r="D7" s="23"/>
      <c r="E7" s="23"/>
      <c r="F7" s="23"/>
    </row>
    <row r="8" spans="1:6" ht="38.1" customHeight="1">
      <c r="A8" s="21" t="s">
        <v>232</v>
      </c>
      <c r="B8" s="21"/>
      <c r="C8" s="21"/>
      <c r="D8" s="21"/>
      <c r="E8" s="21"/>
      <c r="F8" s="21"/>
    </row>
    <row r="9" spans="1:6" ht="38.1" customHeight="1">
      <c r="A9" s="21"/>
      <c r="B9" s="21"/>
      <c r="C9" s="21"/>
      <c r="D9" s="21"/>
      <c r="E9" s="21"/>
      <c r="F9" s="21"/>
    </row>
    <row r="11" spans="1:6" ht="27.95" customHeight="1">
      <c r="A11" s="23" t="s">
        <v>159</v>
      </c>
      <c r="B11" s="23"/>
      <c r="C11" s="23"/>
      <c r="D11" s="23"/>
      <c r="E11" s="23"/>
      <c r="F11" s="23"/>
    </row>
    <row r="12" spans="1:6" ht="38.1" customHeight="1">
      <c r="A12" s="21" t="s">
        <v>233</v>
      </c>
      <c r="B12" s="21"/>
      <c r="C12" s="21"/>
      <c r="D12" s="21"/>
      <c r="E12" s="21"/>
      <c r="F12" s="21"/>
    </row>
    <row r="13" spans="1:6" ht="38.1" customHeight="1">
      <c r="A13" s="21"/>
      <c r="B13" s="21"/>
      <c r="C13" s="21"/>
      <c r="D13" s="21"/>
      <c r="E13" s="21"/>
      <c r="F13" s="21"/>
    </row>
    <row r="15" spans="1:6" ht="27.95" customHeight="1">
      <c r="A15" s="23" t="s">
        <v>160</v>
      </c>
      <c r="B15" s="23"/>
      <c r="C15" s="23"/>
      <c r="D15" s="23"/>
      <c r="E15" s="23"/>
      <c r="F15" s="23"/>
    </row>
    <row r="16" spans="1:6" ht="38.1" customHeight="1">
      <c r="A16" s="21" t="s">
        <v>234</v>
      </c>
      <c r="B16" s="21"/>
      <c r="C16" s="21"/>
      <c r="D16" s="21"/>
      <c r="E16" s="21"/>
      <c r="F16" s="21"/>
    </row>
    <row r="17" spans="1:6" ht="38.1" customHeight="1">
      <c r="A17" s="21"/>
      <c r="B17" s="21"/>
      <c r="C17" s="21"/>
      <c r="D17" s="21"/>
      <c r="E17" s="21"/>
      <c r="F17" s="21"/>
    </row>
    <row r="19" spans="1:6" ht="27.95" customHeight="1">
      <c r="A19" s="23" t="s">
        <v>161</v>
      </c>
      <c r="B19" s="23"/>
      <c r="C19" s="23"/>
      <c r="D19" s="23"/>
      <c r="E19" s="23"/>
      <c r="F19" s="23"/>
    </row>
    <row r="20" spans="1:6" ht="38.1" customHeight="1">
      <c r="A20" s="21" t="s">
        <v>235</v>
      </c>
      <c r="B20" s="21"/>
      <c r="C20" s="21"/>
      <c r="D20" s="21"/>
      <c r="E20" s="21"/>
      <c r="F20" s="21"/>
    </row>
    <row r="21" spans="1:6" ht="38.1" customHeight="1">
      <c r="A21" s="21"/>
      <c r="B21" s="21"/>
      <c r="C21" s="21"/>
      <c r="D21" s="21"/>
      <c r="E21" s="21"/>
      <c r="F21" s="21"/>
    </row>
    <row r="23" spans="1:6" ht="27.95" customHeight="1">
      <c r="A23" s="23" t="s">
        <v>162</v>
      </c>
      <c r="B23" s="23"/>
      <c r="C23" s="23"/>
      <c r="D23" s="23"/>
      <c r="E23" s="23"/>
      <c r="F23" s="23"/>
    </row>
    <row r="24" spans="1:6" ht="38.1" customHeight="1">
      <c r="A24" s="21" t="s">
        <v>236</v>
      </c>
      <c r="B24" s="21"/>
      <c r="C24" s="21"/>
      <c r="D24" s="21"/>
      <c r="E24" s="21"/>
      <c r="F24" s="21"/>
    </row>
    <row r="25" spans="1:6" ht="38.1" customHeight="1">
      <c r="A25" s="21"/>
      <c r="B25" s="21"/>
      <c r="C25" s="21"/>
      <c r="D25" s="21"/>
      <c r="E25" s="21"/>
      <c r="F25" s="21"/>
    </row>
    <row r="27" spans="1:6" ht="27.95" customHeight="1">
      <c r="A27" s="23" t="s">
        <v>163</v>
      </c>
      <c r="B27" s="23"/>
      <c r="C27" s="23"/>
      <c r="D27" s="23"/>
      <c r="E27" s="23"/>
      <c r="F27" s="23"/>
    </row>
    <row r="28" spans="1:6" ht="38.1" customHeight="1">
      <c r="A28" s="21" t="s">
        <v>237</v>
      </c>
      <c r="B28" s="21"/>
      <c r="C28" s="21"/>
      <c r="D28" s="21"/>
      <c r="E28" s="21"/>
      <c r="F28" s="21"/>
    </row>
    <row r="29" spans="1:6" ht="38.1" customHeight="1">
      <c r="A29" s="21"/>
      <c r="B29" s="21"/>
      <c r="C29" s="21"/>
      <c r="D29" s="21"/>
      <c r="E29" s="21"/>
      <c r="F29" s="21"/>
    </row>
  </sheetData>
  <mergeCells count="15">
    <mergeCell ref="A1:F1"/>
    <mergeCell ref="A3:F3"/>
    <mergeCell ref="A4:F5"/>
    <mergeCell ref="A7:F7"/>
    <mergeCell ref="A8:F9"/>
    <mergeCell ref="A11:F11"/>
    <mergeCell ref="A12:F13"/>
    <mergeCell ref="A15:F15"/>
    <mergeCell ref="A16:F17"/>
    <mergeCell ref="A19:F19"/>
    <mergeCell ref="A20:F21"/>
    <mergeCell ref="A23:F23"/>
    <mergeCell ref="A24:F25"/>
    <mergeCell ref="A27:F27"/>
    <mergeCell ref="A28:F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Project Overview</vt:lpstr>
      <vt:lpstr>Development Progress</vt:lpstr>
      <vt:lpstr>Individual Contributions</vt:lpstr>
      <vt:lpstr>Integration Progress</vt:lpstr>
      <vt:lpstr>Implementation Evidence</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Tebz</cp:lastModifiedBy>
  <dcterms:modified xsi:type="dcterms:W3CDTF">2026-10-30T00:41:30Z</dcterms:modified>
</cp:coreProperties>
</file>