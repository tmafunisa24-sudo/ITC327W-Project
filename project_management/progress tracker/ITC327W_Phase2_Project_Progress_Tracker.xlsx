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sak\Downloads\Group T Phase 1\Phase 2\"/>
    </mc:Choice>
  </mc:AlternateContent>
  <xr:revisionPtr revIDLastSave="0" documentId="13_ncr:1_{7FF9A711-B887-41E6-A9C0-848E37517C14}" xr6:coauthVersionLast="47" xr6:coauthVersionMax="47" xr10:uidLastSave="{00000000-0000-0000-0000-000000000000}"/>
  <bookViews>
    <workbookView xWindow="-120" yWindow="-120" windowWidth="20730" windowHeight="11040" tabRatio="500" firstSheet="3" activeTab="3" xr2:uid="{00000000-000D-0000-FFFF-FFFF00000000}"/>
  </bookViews>
  <sheets>
    <sheet name="Instructions" sheetId="1" r:id="rId1"/>
    <sheet name="Project Overview" sheetId="2" r:id="rId2"/>
    <sheet name="Design Progress" sheetId="3" r:id="rId3"/>
    <sheet name="Individual Contributions" sheetId="4" r:id="rId4"/>
    <sheet name="Design Source Links"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8" i="2" l="1"/>
  <c r="E7" i="2"/>
  <c r="E6" i="2"/>
  <c r="E5" i="2"/>
  <c r="E4" i="2"/>
</calcChain>
</file>

<file path=xl/sharedStrings.xml><?xml version="1.0" encoding="utf-8"?>
<sst xmlns="http://schemas.openxmlformats.org/spreadsheetml/2006/main" count="472" uniqueCount="278">
  <si>
    <t>ITC327W Phase 2 Project Progress Tracker</t>
  </si>
  <si>
    <t>Use this workbook during Phase 2: System Architecture and Design. Update it throughout the phase and submit the same workbook with Assessment 2.</t>
  </si>
  <si>
    <t>Sheet</t>
  </si>
  <si>
    <t>Purpose</t>
  </si>
  <si>
    <t>What must be kept current</t>
  </si>
  <si>
    <t>Project Overview</t>
  </si>
  <si>
    <t>Group details and automatic progress summary</t>
  </si>
  <si>
    <t>Group information, GitHub link and current Phase 2 progress</t>
  </si>
  <si>
    <t>Design Progress</t>
  </si>
  <si>
    <t>Track each design artefact and supporting work</t>
  </si>
  <si>
    <t>Architecture, UML, ERD, mobile/web interfaces, SRS and project-management tasks</t>
  </si>
  <si>
    <t>Individual Contributions</t>
  </si>
  <si>
    <t>Record work personally completed by each student</t>
  </si>
  <si>
    <t>Activity, responsibility, work completed and evidence</t>
  </si>
  <si>
    <t>Design Source Links</t>
  </si>
  <si>
    <t>Record editable source links/files for submitted designs</t>
  </si>
  <si>
    <t>Architecture, UML, ERD, mobile and web design sources</t>
  </si>
  <si>
    <t>Challenges &amp; Actions</t>
  </si>
  <si>
    <t>Record design/project challenges and corrective action</t>
  </si>
  <si>
    <t>Problem, effect, action, owner, target date and status</t>
  </si>
  <si>
    <t>Phase Summary</t>
  </si>
  <si>
    <t>Summarise what was achieved and what remains</t>
  </si>
  <si>
    <t>Phase status, completed work, gaps and next priorities</t>
  </si>
  <si>
    <t>Group Reflection</t>
  </si>
  <si>
    <t>One shared group reflection for Phase 2</t>
  </si>
  <si>
    <t>Participation, collaboration, challenges, learning and improvements</t>
  </si>
  <si>
    <t>Important</t>
  </si>
  <si>
    <t>Do not create a separate tracker for each activity. This Phase 2 workbook is updated as the group progresses. Evidence may include GitHub commits, screenshots, document sections, editable design links/files and other appropriate project evidence. Do not include passwords, API keys or confidential stakeholder information.</t>
  </si>
  <si>
    <t>Phase 2 Project Overview</t>
  </si>
  <si>
    <t>Group</t>
  </si>
  <si>
    <t>GROUP T</t>
  </si>
  <si>
    <t>Phase 2 Progress Summary</t>
  </si>
  <si>
    <t>Project Title</t>
  </si>
  <si>
    <t>CLICK COMPUTER AND ACCESSORIES</t>
  </si>
  <si>
    <t>Total tracked items</t>
  </si>
  <si>
    <t>Stakeholder / Organisation</t>
  </si>
  <si>
    <t>Completed</t>
  </si>
  <si>
    <t>Group Leader</t>
  </si>
  <si>
    <t>Lesako Mpho</t>
  </si>
  <si>
    <t>In Progress</t>
  </si>
  <si>
    <t>Number of Group Members</t>
  </si>
  <si>
    <t>Blocked</t>
  </si>
  <si>
    <t>GitHub Repository Link</t>
  </si>
  <si>
    <t>Average completion</t>
  </si>
  <si>
    <t>Reporting Period</t>
  </si>
  <si>
    <t>4 weeks (14 Sep - 13 Oct 2026)</t>
  </si>
  <si>
    <t>Overall Phase Status</t>
  </si>
  <si>
    <t>Phase 2 Reminder</t>
  </si>
  <si>
    <t>Phase 2 focuses on system architecture and design. Track the design artefacts, the editable source links/files, individual contributions, challenges, Microsoft Project updates and GitHub evidence. No separate stakeholder-evidence section is required in this tracker.</t>
  </si>
  <si>
    <t>Phase 2 Design Progress</t>
  </si>
  <si>
    <t>Task ID</t>
  </si>
  <si>
    <t>Design / Project Item</t>
  </si>
  <si>
    <t>Description / Expected Output</t>
  </si>
  <si>
    <t>Responsible Student(s)</t>
  </si>
  <si>
    <t>Planned Date</t>
  </si>
  <si>
    <t>Actual Completion Date</t>
  </si>
  <si>
    <t>Status</t>
  </si>
  <si>
    <t>% Complete</t>
  </si>
  <si>
    <t>Evidence / Link</t>
  </si>
  <si>
    <t>Notes / Action Required</t>
  </si>
  <si>
    <t>P2-01</t>
  </si>
  <si>
    <t>System Architecture</t>
  </si>
  <si>
    <t>Overall architecture showing Flutter, ASP.NET and shared Supabase backend</t>
  </si>
  <si>
    <t>Mafunisa T</t>
  </si>
  <si>
    <t>System architecture diagram</t>
  </si>
  <si>
    <t>Flutter, ASP.NET and Supabase shown as one integrated system.</t>
  </si>
  <si>
    <t>P2-02</t>
  </si>
  <si>
    <t>Use Case Diagram</t>
  </si>
  <si>
    <t>Actors, use cases, system boundary and appropriate UML relationships</t>
  </si>
  <si>
    <t>Tladi K, Molefe B, Lesako M</t>
  </si>
  <si>
    <t>P2-03</t>
  </si>
  <si>
    <t>Sequence Diagram 1</t>
  </si>
  <si>
    <t>Important Flutter process</t>
  </si>
  <si>
    <t>Taaibosch K, Winkel K, Ndlovu N</t>
  </si>
  <si>
    <t>Sequence Diagrams (Flutter/Supabase and ASP.NET/Supabase)</t>
  </si>
  <si>
    <t>Group drafted the final version together so everyone agreed on it.</t>
  </si>
  <si>
    <t>P2-04</t>
  </si>
  <si>
    <t>Sequence Diagram 2</t>
  </si>
  <si>
    <t>Important ASP.NET process</t>
  </si>
  <si>
    <t>Created together with Sequence Diagram 1.</t>
  </si>
  <si>
    <t>P2-05</t>
  </si>
  <si>
    <t>ERD</t>
  </si>
  <si>
    <t>Entities, attributes, PKs, FKs, relationships and cardinality</t>
  </si>
  <si>
    <t>Molefe B</t>
  </si>
  <si>
    <t>ERD for the Supabase backend.</t>
  </si>
  <si>
    <t>P2-06</t>
  </si>
  <si>
    <t>Flutter Interface Designs</t>
  </si>
  <si>
    <t>Main mobile screens and navigation</t>
  </si>
  <si>
    <t>Nosenga B</t>
  </si>
  <si>
    <t>Wireframe Flutter</t>
  </si>
  <si>
    <t>P2-07</t>
  </si>
  <si>
    <t>ASP.NET Interface Designs</t>
  </si>
  <si>
    <t>Main web pages and navigation</t>
  </si>
  <si>
    <t>Nosenga B, Mafunisa T</t>
  </si>
  <si>
    <t>Wireframes 2 ASP.NET</t>
  </si>
  <si>
    <t>P2-08</t>
  </si>
  <si>
    <t>Design Alignment</t>
  </si>
  <si>
    <t>Requirements linked across UML, ERD and interfaces</t>
  </si>
  <si>
    <t>Taaibosch K, Winkel K, Ndlovu N, Molefe B, Lesako M, Tladi K</t>
  </si>
  <si>
    <t>Updated design files; MS Project task 2.6; stakeholder acceptance register</t>
  </si>
  <si>
    <t>Designs refined after stakeholder feedback (task 2.6).</t>
  </si>
  <si>
    <t>P2-09</t>
  </si>
  <si>
    <t>Updated SRS</t>
  </si>
  <si>
    <t>Phase 2 architecture and design section inserted in existing SRS</t>
  </si>
  <si>
    <t>Hlalele D, Lesako M</t>
  </si>
  <si>
    <t>SRS Version 3.0 PDF</t>
  </si>
  <si>
    <t>Phase 1 + Phase 2 combined in a single PDF.</t>
  </si>
  <si>
    <t>P2-10</t>
  </si>
  <si>
    <t>Microsoft Project</t>
  </si>
  <si>
    <t>Schedule updated to reflect design progress and upcoming development</t>
  </si>
  <si>
    <t>Lesenyeho LJ</t>
  </si>
  <si>
    <t>Updated MS Project file and screenshot</t>
  </si>
  <si>
    <t>Schedule updated for Phase 2 (task 2.7).</t>
  </si>
  <si>
    <t>P2-11</t>
  </si>
  <si>
    <t>GitHub</t>
  </si>
  <si>
    <t>Current design documentation and repository organisation</t>
  </si>
  <si>
    <t>Nosenga B, Lesenyeho LJ, Lesako M</t>
  </si>
  <si>
    <t>GitHub repository; progress tracker</t>
  </si>
  <si>
    <t>Phase 2 documentation and tracker updated on GitHub (task 2.7).</t>
  </si>
  <si>
    <t>P2-12</t>
  </si>
  <si>
    <t>Phase 2 Presentation</t>
  </si>
  <si>
    <t>Presentation and defence preparation</t>
  </si>
  <si>
    <t>Hlalele D (lead presenter)</t>
  </si>
  <si>
    <t>Presentation and defence scheduled for 16 Oct 2026.</t>
  </si>
  <si>
    <t>Phase 2 Individual Contributions</t>
  </si>
  <si>
    <t>Student Name</t>
  </si>
  <si>
    <t>Student Number</t>
  </si>
  <si>
    <t>Activity / Artefact</t>
  </si>
  <si>
    <t>Assigned Responsibility</t>
  </si>
  <si>
    <t>Work Personally Completed</t>
  </si>
  <si>
    <t>Date Completed</t>
  </si>
  <si>
    <t>Hours Spent</t>
  </si>
  <si>
    <t>Verified by Group</t>
  </si>
  <si>
    <t>Verification Date</t>
  </si>
  <si>
    <t>Quality / Review Notes</t>
  </si>
  <si>
    <t>Contribution Status</t>
  </si>
  <si>
    <t>LESAKO M</t>
  </si>
  <si>
    <t>Project Manager</t>
  </si>
  <si>
    <t>Coordinate Phase 2; take part in stakeholder acceptance; create the second set of wireframes.</t>
  </si>
  <si>
    <t>Took part in the stakeholder acceptance meeting, created the second set of wireframes, and led the action on late/absent members at meetings (fine and group-chat communication).</t>
  </si>
  <si>
    <t>Use case, stakeholder acceptance record; group chat</t>
  </si>
  <si>
    <t>Yes</t>
  </si>
  <si>
    <t>TLADI K</t>
  </si>
  <si>
    <t>Stakeholder Analyst</t>
  </si>
  <si>
    <t>Create the Use Case Diagram; take part in stakeholder acceptance.</t>
  </si>
  <si>
    <t>Created the Use Case Diagram and took part in the stakeholder acceptance meeting.</t>
  </si>
  <si>
    <t>NOSENGA B</t>
  </si>
  <si>
    <t>GitHub and presentation Lead</t>
  </si>
  <si>
    <t>Maintain the GitHub repository; take part in stakeholder acceptance; create wireframes.</t>
  </si>
  <si>
    <t>Maintained the GitHub repository with the Phase 2 documentation, took part in the stakeholder acceptance meeting and created the wireframes.</t>
  </si>
  <si>
    <t>GitHub repository; stakeholder acceptance record; wireframes</t>
  </si>
  <si>
    <t>MAFUNISA T</t>
  </si>
  <si>
    <t>Technical Architecture</t>
  </si>
  <si>
    <t>Design the system architecture; take part in stakeholder acceptance; refine designs.</t>
  </si>
  <si>
    <t>Designed the system architecture, took part in the stakeholder acceptance meeting and refined the designs after feedback.</t>
  </si>
  <si>
    <t>System architecture diagram; stakeholder acceptance record</t>
  </si>
  <si>
    <t>HLALELE D</t>
  </si>
  <si>
    <t>Requirements Analyst</t>
  </si>
  <si>
    <t>Update the SRS (Version 3.0) and lead the Phase 2 presentation.</t>
  </si>
  <si>
    <t>Updated the SRS to Version 3.0 with the new System Architecture and Design section (task 2.8); lead presenter for Phase 2.</t>
  </si>
  <si>
    <t>SRS Version 3.0</t>
  </si>
  <si>
    <t>NDLOVU N</t>
  </si>
  <si>
    <t>Risk manager</t>
  </si>
  <si>
    <t>Create the sequence diagrams.</t>
  </si>
  <si>
    <t>Created the Sequence Diagrams together with Winkel K and Taaibosch K; the group finalised the version everyone agreed on; refined the designs after feedback.</t>
  </si>
  <si>
    <t>Sequence diagrams</t>
  </si>
  <si>
    <t>TAAIBOSCH K</t>
  </si>
  <si>
    <t>Problem analyst</t>
  </si>
  <si>
    <t>Create the Sequence Diagrams; refine designs.</t>
  </si>
  <si>
    <t>Created the Sequence Diagrams together with Winkel K; the group finalised the version everyone agreed on; refined the designs after feedback (2.6).</t>
  </si>
  <si>
    <t>Sequence Diagrams</t>
  </si>
  <si>
    <t>MOLEFE B</t>
  </si>
  <si>
    <t>Feasibility Analyst</t>
  </si>
  <si>
    <t>Design the ERD.</t>
  </si>
  <si>
    <t>Designed the Entity Relationship Diagram (ERD) for the Supabase database.</t>
  </si>
  <si>
    <t>LJ LESENYEHO</t>
  </si>
  <si>
    <t>Project planner</t>
  </si>
  <si>
    <t>Create and update the Microsoft Project plan.</t>
  </si>
  <si>
    <t>Created and updated the Microsoft Project plan for Phase 2.</t>
  </si>
  <si>
    <t>Microsoft Project file / screenshot</t>
  </si>
  <si>
    <t>WINKEL K</t>
  </si>
  <si>
    <t>Documentation and quality controller</t>
  </si>
  <si>
    <t>Create the Sequence Diagrams.</t>
  </si>
  <si>
    <t>Created the Sequence Diagrams together with Taaibosch K and Ndlovu N.</t>
  </si>
  <si>
    <t>No</t>
  </si>
  <si>
    <t>Not Started</t>
  </si>
  <si>
    <t>Phase 2 Original Design Source Links / Files</t>
  </si>
  <si>
    <t>Design Artefact</t>
  </si>
  <si>
    <t>Tool Used</t>
  </si>
  <si>
    <t>Editable Link / File Name</t>
  </si>
  <si>
    <t>Accessible to Lecturer?</t>
  </si>
  <si>
    <t>Last Updated</t>
  </si>
  <si>
    <t>Responsible Student</t>
  </si>
  <si>
    <t>Included in SRS?</t>
  </si>
  <si>
    <t>Notes</t>
  </si>
  <si>
    <t>Editable link/file name still to be added.</t>
  </si>
  <si>
    <t>Navigation Flow</t>
  </si>
  <si>
    <t>Phase 2 Challenges and Corrective Actions</t>
  </si>
  <si>
    <t>Date Identified</t>
  </si>
  <si>
    <t>Challenge</t>
  </si>
  <si>
    <t>Effect on Progress / Design</t>
  </si>
  <si>
    <t>Corrective Action</t>
  </si>
  <si>
    <t>Target Date</t>
  </si>
  <si>
    <t>Resolved Date</t>
  </si>
  <si>
    <t>During group meetings most members arrived late or did not attend.</t>
  </si>
  <si>
    <t>Meetings could not run with the full group, which slowed decisions and the coordination of tasks.</t>
  </si>
  <si>
    <t>A fine was introduced for members who did not comply, and the behaviour was addressed on the group chat. This was led by Mpho Lesako.</t>
  </si>
  <si>
    <t>Understanding the diagrams: each member took a turn at drawing diagrams, and the Sequence Diagrams were the most confusing.</t>
  </si>
  <si>
    <t>Members did not all understand the diagrams in the same way.</t>
  </si>
  <si>
    <t>The group sat together and drafted the Sequence Diagrams that everyone agreed on.</t>
  </si>
  <si>
    <t>ALL MEMBERS</t>
  </si>
  <si>
    <t>Five members were not present during our meeting to finalise everything before submission.</t>
  </si>
  <si>
    <t>Decision making and acceptance were delayed.</t>
  </si>
  <si>
    <t>We communicated later on WhatsApp.</t>
  </si>
  <si>
    <t>Phase 2 Completion Checklist</t>
  </si>
  <si>
    <t>Complete?</t>
  </si>
  <si>
    <t>Architecture complete</t>
  </si>
  <si>
    <t>What was completed during Phase 2?</t>
  </si>
  <si>
    <t>We designed the system architecture showing the Flutter mobile app, ASP.NET web app and shared Supabase backend as one integrated system; created the Use Case Diagram and Sequence Diagrams; designed the ERD for the Supabase database; created the Flutter and ASP.NET wireframes; obtained stakeholder acceptance of the designs; and refined the designs after feedback. The Microsoft Project plan, GitHub repository and progress tracker were updated and SRS Version 3.0 (Phase 1 + Phase 2) was finalised.</t>
  </si>
  <si>
    <t>Use Case Diagram complete</t>
  </si>
  <si>
    <t>What remains incomplete?</t>
  </si>
  <si>
    <t>Two Sequence Diagrams complete</t>
  </si>
  <si>
    <t>Why is it incomplete?</t>
  </si>
  <si>
    <t>ERD complete</t>
  </si>
  <si>
    <t>Which contributions were particularly important?</t>
  </si>
  <si>
    <t>Mafunisa T designed the system architecture. Tladi K created the Use Case Diagram. Taaibosch K, Winkel K and Ndlovu N created the Sequence Diagrams. Molefe B designed the ERD. Nosenga B created the wireframes and maintained GitHub. Lesako M coordinated Phase 2 and, with Tladi K, Mafunisa T and Nosenga B, took part in the stakeholder acceptance meeting. Lesenyeho LJ updated the Microsoft Project plan and Hlalele D finalised SRS Version 3.0.</t>
  </si>
  <si>
    <t>Flutter interfaces complete</t>
  </si>
  <si>
    <t>Were there participation concerns?</t>
  </si>
  <si>
    <t>Yes. During group meetings most members arrived late or did not attend. The group introduced a fine for members who did not comply and addressed the behaviour on the group chat, led by Mpho Lesako.</t>
  </si>
  <si>
    <t>ASP.NET interfaces complete</t>
  </si>
  <si>
    <t>What will the group improve in Phase 3?</t>
  </si>
  <si>
    <t>For Phase 3 we will record each member's contributions and evidence at the time the work is done, keep Microsoft Project and this tracker updated every week, and use a shared checklist before each submission.</t>
  </si>
  <si>
    <t>Editable source links/files recorded</t>
  </si>
  <si>
    <t>Main priority for Phase 3</t>
  </si>
  <si>
    <t>Phase 3: develop the Flutter mobile app, the ASP.NET web app and the Supabase integration according to the approved designs, then test, correct and prepare the demonstration.</t>
  </si>
  <si>
    <t>SRS updated</t>
  </si>
  <si>
    <t>Microsoft Project updated</t>
  </si>
  <si>
    <t>GitHub current</t>
  </si>
  <si>
    <t>Individual contributions recorded</t>
  </si>
  <si>
    <t>Challenges/actions updated</t>
  </si>
  <si>
    <t>Group reflection completed</t>
  </si>
  <si>
    <t>Phase 2 Group Reflection</t>
  </si>
  <si>
    <t>1. What did the group complete successfully during Phase 2?</t>
  </si>
  <si>
    <t>The group turned the Phase 1 requirements into the system architecture, Use Case Diagram, two Sequence Diagrams, ERD and Flutter and ASP.NET wireframes. The designs were presented to the stakeholder, who accepted them, and they were refined after feedback. The Microsoft Project plan, GitHub repository and progress tracker were updated and SRS Version 3.0 was finalised.</t>
  </si>
  <si>
    <t>2. Which architecture or design activities were the most challenging?</t>
  </si>
  <si>
    <t>Two things were difficult. Most members arrived late or did not attend group meetings, which made it hard to coordinate. Understanding the diagrams was also difficult, because each member took a turn at drawing diagrams and the Sequence Diagrams were the most confusing.</t>
  </si>
  <si>
    <t>3. How did the group ensure that Flutter, ASP.NET and Supabase were designed as one integrated system?</t>
  </si>
  <si>
    <t>The architecture, Use Case Diagram, Sequence Diagrams, ERD and wireframes all had to trace back to the same approved requirements. The architecture showed Flutter and ASP.NET both using the shared Supabase backend, the ERD was designed for that backend, and the database had to support every screen and page. Refining the designs together after stakeholder feedback kept them consistent.</t>
  </si>
  <si>
    <t>4. How was work divided among group members, and was participation balanced?</t>
  </si>
  <si>
    <t>Every member was given a Phase 2 task: Mafunisa T the system architecture, Tladi K the Use Case Diagram, Taaibosch K, Winkel K and Ndlovu N the Sequence Diagrams, Molefe B the ERD, Nosenga B the wireframes and GitHub, Lesenyeho LJ the Microsoft Project plan and Hlalele D the SRS update. Attendance at meetings was not consistent, so participation was not fully balanced, which is why the group introduced a fine and addressed it on the group chat.</t>
  </si>
  <si>
    <t>5. What did the group learn from developing the UML, ERD and interface designs?</t>
  </si>
  <si>
    <t>The architecture, UML, ERD and interface designs must all describe the same system, and designing before coding helped us find gaps early. Drawing the Sequence Diagrams together showed that each member can read a diagram differently, so the group needs a shared understanding before finalising any design.</t>
  </si>
  <si>
    <t>6. What will the group do differently during development in Phase 3?</t>
  </si>
  <si>
    <t>In Phase 3 we will record contributions and evidence at the time the work is done, update Microsoft Project and the tracker weekly, and use a shared checklist before each submission to check that every file, link, diagram and record is complete, consistent and accessible.</t>
  </si>
  <si>
    <t>Draw .io</t>
  </si>
  <si>
    <t>LucidChart</t>
  </si>
  <si>
    <t>Figma</t>
  </si>
  <si>
    <t>https://lucid.app/lucidchart/895a8e0d-97e9-4649-a7c0-7f30062eb435/edit?viewport_loc=-10144%2C3206%2C6538%2C3456%2C0_0&amp;invitationId=inv_13a5c578-a00c-4381-bcc7-15b1d5d87536</t>
  </si>
  <si>
    <t>https://lucid.app/lucidchart/ec36d4bc-a084-4884-bbed-d6398301ee8f/edit?viewport_loc=-4456%2C-2900%2C5464%2C2212%2C0_0&amp;invitationId=inv_8c3b9894-ed5e-43c1-9f78-075a273945f1</t>
  </si>
  <si>
    <t>https://lucid.app/lucidchart/57c2cd7d-a52f-4d36-aba6-b10b1a96a3e2/edit?viewport_loc=-1456%2C392%2C5464%2C2212%2C0_0&amp;invitationId=inv_4eaa2ff6-389d-47f4-8048-3caf7578fdf2</t>
  </si>
  <si>
    <t>https://www.figma.com/design/IsuW8QCf5vvCxYrkFC2KOq/ServiceHub-IT---Design-System---Prototypes?node-id=1-2&amp;t=WDTaxEEDC0oUVDfr-1</t>
  </si>
  <si>
    <t>https://github.com/tmafunisa24-sudo</t>
  </si>
  <si>
    <t>the schedule was updated to reflect Phase 2 design progress</t>
  </si>
  <si>
    <t>the use case was completed and the group accepted .</t>
  </si>
  <si>
    <t>wireframes, and github repo were completed and met stakeholder requirements.</t>
  </si>
  <si>
    <t>The architecture explained the  project in short.</t>
  </si>
  <si>
    <t>SRS 3.0 was build on stakeholder accepted designs</t>
  </si>
  <si>
    <t>The  Sequence Diagrams were redrafted together until everyone agreed, and they refined the designs after feedback.</t>
  </si>
  <si>
    <t>The ERD was complete and the group aggreed upon Iit.</t>
  </si>
  <si>
    <t>the work was coordinated well</t>
  </si>
  <si>
    <t>The Phase 2 presentation and defence (16 Oct 2026) .Development of the Flutter, ASP.NET and Supabase components follows in Phase 3.</t>
  </si>
  <si>
    <t xml:space="preserve">The presentation depends on the completed and refined designs and the final SRS, so it is scheduled on the 16th of  October 2026 in our Microsoft Project. </t>
  </si>
  <si>
    <t>https://drive.google.com/file/d/11Ja90b6tMq4ahkI-THez3RUYbPcuNtIx/view?usp=sharing</t>
  </si>
  <si>
    <t>https://www.figma.com/design/IsuW8QCf5vvCxYrkFC2KOq/ServiceHub-IT---Design-System---Prototypes?node-id=111-667&amp;t=AklSjmxOGRMnR2Wq-1</t>
  </si>
  <si>
    <t>https://www.figma.com/design/IsuW8QCf5vvCxYrkFC2KOq/ServiceHub-IT---Design-System---Prototypes?node-id=111-667&amp;t=AklSjmxOGRMnR2Wq-1Prototypes?node-id=1-2&amp;t=WDTaxEEDC0oUVDfr-1</t>
  </si>
  <si>
    <t>https://lucid.app/lucidchart/57c2cd7d-a52f-4d36-aba6-b10b1a96a3e2/edit?viewport_loc=-4225%2C-1950%2C8513%2C6900%2C0_0&amp;invitationId=inv_4eaa2ff6-389d-47f4-8048-3caf7578fdf2</t>
  </si>
  <si>
    <t>https://lucid.app/lucidchart/ec36d4bc-a084-4884-bbed-d6398301ee8f/edit?viewport_loc=-9560%2C-2792%2C5464%2C2212%2C0_0&amp;invitationId=inv_8c3b9894-ed5e-43c1-9f78-075a273945f1</t>
  </si>
  <si>
    <t>https://lucid.app/lucidchart/895a8e0d-97e9-4649-a7c0-7f30062eb435/edit?viewport_loc=-7250%2C10394%2C4256%2C3450%2C0_0&amp;invitationId=inv_13a5c578-a00c-4381-bcc7-15b1d5d87536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</si>
</sst>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5" x14ac:knownFonts="1">
    <font>
      <sz val="11"/>
      <name val="Calibri"/>
      <charset val="1"/>
    </font>
    <font>
      <b/>
      <sz val="15"/>
      <color rgb="FFFFFFFF"/>
      <name val="Calibri"/>
      <charset val="1"/>
    </font>
    <font>
      <b/>
      <sz val="11"/>
      <color rgb="FFFFFFFF"/>
      <name val="Calibri"/>
      <charset val="1"/>
    </font>
    <font>
      <b/>
      <sz val="11"/>
      <name val="Calibri"/>
      <charset val="1"/>
    </font>
    <font>
      <u/>
      <sz val="11"/>
      <color theme="10"/>
      <name val="Calibri"/>
      <charset val="1"/>
    </font>
  </fonts>
  <fills count="7">
    <fill>
      <patternFill patternType="none"/>
    </fill>
    <fill>
      <patternFill patternType="gray125"/>
    </fill>
    <fill>
      <patternFill patternType="solid">
        <fgColor rgb="FF17365D"/>
        <bgColor rgb="FF333333"/>
      </patternFill>
    </fill>
    <fill>
      <patternFill patternType="solid">
        <fgColor rgb="FFF3F6FA"/>
        <bgColor rgb="FFFFFFFF"/>
      </patternFill>
    </fill>
    <fill>
      <patternFill patternType="solid">
        <fgColor rgb="FFD9EAF7"/>
        <bgColor rgb="FFE2F0D9"/>
      </patternFill>
    </fill>
    <fill>
      <patternFill patternType="solid">
        <fgColor rgb="FFFFF2CC"/>
        <bgColor rgb="FFE2F0D9"/>
      </patternFill>
    </fill>
    <fill>
      <patternFill patternType="solid">
        <fgColor rgb="FFE2F0D9"/>
        <bgColor rgb="FFD9EAF7"/>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3" fillId="4" borderId="0" xfId="0" applyFont="1" applyFill="1" applyAlignment="1">
      <alignment vertical="top" wrapText="1"/>
    </xf>
    <xf numFmtId="0" fontId="3" fillId="4" borderId="0" xfId="0" applyFont="1" applyFill="1" applyAlignment="1">
      <alignment wrapText="1"/>
    </xf>
    <xf numFmtId="0" fontId="0" fillId="5" borderId="0" xfId="0" applyFill="1" applyAlignment="1">
      <alignment vertical="top" wrapText="1"/>
    </xf>
    <xf numFmtId="0" fontId="2" fillId="2" borderId="0" xfId="0" applyFont="1" applyFill="1" applyAlignment="1">
      <alignment horizontal="center" vertical="center" wrapText="1"/>
    </xf>
    <xf numFmtId="0" fontId="0" fillId="0" borderId="0" xfId="0" applyAlignment="1">
      <alignment wrapText="1"/>
    </xf>
    <xf numFmtId="0" fontId="3" fillId="4" borderId="0" xfId="0" applyFont="1" applyFill="1"/>
    <xf numFmtId="0" fontId="3" fillId="6" borderId="0" xfId="0" applyFont="1" applyFill="1" applyAlignment="1">
      <alignment horizontal="center"/>
    </xf>
    <xf numFmtId="9" fontId="3" fillId="6" borderId="0" xfId="0" applyNumberFormat="1" applyFont="1" applyFill="1" applyAlignment="1">
      <alignment horizontal="center"/>
    </xf>
    <xf numFmtId="164" fontId="0" fillId="5" borderId="0" xfId="0" applyNumberFormat="1" applyFill="1" applyAlignment="1">
      <alignment vertical="top" wrapText="1"/>
    </xf>
    <xf numFmtId="9" fontId="0" fillId="5" borderId="0" xfId="0" applyNumberFormat="1" applyFill="1" applyAlignment="1">
      <alignment vertical="top" wrapText="1"/>
    </xf>
    <xf numFmtId="0" fontId="0" fillId="0" borderId="0" xfId="0" applyAlignment="1">
      <alignment vertical="top" wrapText="1"/>
    </xf>
    <xf numFmtId="1" fontId="0" fillId="5" borderId="0" xfId="0" applyNumberFormat="1" applyFill="1" applyAlignment="1">
      <alignment vertical="top" wrapText="1"/>
    </xf>
    <xf numFmtId="0" fontId="0" fillId="5" borderId="0" xfId="0" applyFill="1" applyAlignment="1">
      <alignment vertical="top" wrapText="1"/>
    </xf>
    <xf numFmtId="0" fontId="3" fillId="4" borderId="0" xfId="0" applyFont="1" applyFill="1" applyAlignment="1">
      <alignment wrapText="1"/>
    </xf>
    <xf numFmtId="0" fontId="1" fillId="2" borderId="0" xfId="0" applyFont="1" applyFill="1" applyAlignment="1">
      <alignment horizontal="center" vertical="center"/>
    </xf>
    <xf numFmtId="0" fontId="3" fillId="5" borderId="0" xfId="0" applyFont="1" applyFill="1" applyAlignment="1">
      <alignment vertical="top" wrapText="1"/>
    </xf>
    <xf numFmtId="0" fontId="3" fillId="4" borderId="0" xfId="0" applyFont="1" applyFill="1" applyAlignment="1">
      <alignment vertical="top" wrapText="1"/>
    </xf>
    <xf numFmtId="0" fontId="0" fillId="3" borderId="0" xfId="0" applyFill="1" applyAlignment="1">
      <alignment wrapText="1"/>
    </xf>
    <xf numFmtId="0" fontId="2" fillId="2" borderId="0" xfId="0" applyFont="1" applyFill="1"/>
    <xf numFmtId="0" fontId="0" fillId="3" borderId="0" xfId="0" applyFill="1" applyAlignment="1">
      <alignment vertical="top" wrapText="1"/>
    </xf>
    <xf numFmtId="0" fontId="2" fillId="2" borderId="0" xfId="0" applyFont="1" applyFill="1" applyAlignment="1">
      <alignment horizontal="center"/>
    </xf>
    <xf numFmtId="0" fontId="4" fillId="5" borderId="0" xfId="1" applyFill="1" applyAlignment="1">
      <alignment vertical="top" wrapText="1"/>
    </xf>
  </cellXfs>
  <cellStyles count="2">
    <cellStyle name="Hyperlink" xfId="1" builtinId="8"/>
    <cellStyle name="Normal" xfId="0" builtinId="0"/>
  </cellStyles>
  <dxfs count="5">
    <dxf>
      <fill>
        <patternFill>
          <bgColor rgb="FFF4CCCC"/>
        </patternFill>
      </fill>
    </dxf>
    <dxf>
      <fill>
        <patternFill>
          <bgColor rgb="FFE2F0D9"/>
        </patternFill>
      </fill>
    </dxf>
    <dxf>
      <fill>
        <patternFill>
          <bgColor rgb="FFE2F0D9"/>
        </patternFill>
      </fill>
    </dxf>
    <dxf>
      <fill>
        <patternFill>
          <bgColor rgb="FFF4CCCC"/>
        </patternFill>
      </fill>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3F6FA"/>
      <rgbColor rgb="FFE2F0D9"/>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1Ja90b6tMq4ahkI-THez3RUYbPcuNtIx/view?usp=sharing" TargetMode="External"/><Relationship Id="rId3" Type="http://schemas.openxmlformats.org/officeDocument/2006/relationships/hyperlink" Target="https://www.figma.com/design/IsuW8QCf5vvCxYrkFC2KOq/ServiceHub-IT---Design-System---Prototypes?node-id=111-667&amp;t=AklSjmxOGRMnR2Wq-1" TargetMode="External"/><Relationship Id="rId7" Type="http://schemas.openxmlformats.org/officeDocument/2006/relationships/hyperlink" Target="https://lucid.app/lucidchart/895a8e0d-97e9-4649-a7c0-7f30062eb435/edit?viewport_loc=-7250%2C10394%2C4256%2C3450%2C0_0&amp;invitationId=inv_13a5c578-a00c-4381-bcc7-15b1d5d87536" TargetMode="External"/><Relationship Id="rId2" Type="http://schemas.openxmlformats.org/officeDocument/2006/relationships/hyperlink" Target="https://www.figma.com/design/IsuW8QCf5vvCxYrkFC2KOq/ServiceHub-IT---Design-System---Prototypes?node-id=111-667&amp;t=AklSjmxOGRMnR2Wq-1Prototypes?node-id=1-2&amp;t=WDTaxEEDC0oUVDfr-1" TargetMode="External"/><Relationship Id="rId1" Type="http://schemas.openxmlformats.org/officeDocument/2006/relationships/hyperlink" Target="https://www.figma.com/design/IsuW8QCf5vvCxYrkFC2KOq/ServiceHub-IT---Design-System---Prototypes?node-id=111-667&amp;t=AklSjmxOGRMnR2Wq-1" TargetMode="External"/><Relationship Id="rId6" Type="http://schemas.openxmlformats.org/officeDocument/2006/relationships/hyperlink" Target="https://lucid.app/lucidchart/ec36d4bc-a084-4884-bbed-d6398301ee8f/edit?viewport_loc=-9560%2C-2792%2C5464%2C2212%2C0_0&amp;invitationId=inv_8c3b9894-ed5e-43c1-9f78-075a273945f1" TargetMode="External"/><Relationship Id="rId5" Type="http://schemas.openxmlformats.org/officeDocument/2006/relationships/hyperlink" Target="https://lucid.app/lucidchart/ec36d4bc-a084-4884-bbed-d6398301ee8f/edit?viewport_loc=-9560%2C-2792%2C5464%2C2212%2C0_0&amp;invitationId=inv_8c3b9894-ed5e-43c1-9f78-075a273945f1" TargetMode="External"/><Relationship Id="rId4" Type="http://schemas.openxmlformats.org/officeDocument/2006/relationships/hyperlink" Target="https://lucid.app/lucidchart/57c2cd7d-a52f-4d36-aba6-b10b1a96a3e2/edit?viewport_loc=-4225%2C-1950%2C8513%2C6900%2C0_0&amp;invitationId=inv_4eaa2ff6-389d-47f4-8048-3caf7578fdf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zoomScaleNormal="100" workbookViewId="0"/>
  </sheetViews>
  <sheetFormatPr defaultColWidth="8.7109375" defaultRowHeight="15" x14ac:dyDescent="0.25"/>
  <cols>
    <col min="1" max="1" width="25" customWidth="1"/>
    <col min="2" max="2" width="38" customWidth="1"/>
    <col min="3" max="3" width="52" customWidth="1"/>
    <col min="4" max="6" width="14" customWidth="1"/>
  </cols>
  <sheetData>
    <row r="1" spans="1:6" ht="33.75" customHeight="1" x14ac:dyDescent="0.25">
      <c r="A1" s="15" t="s">
        <v>0</v>
      </c>
      <c r="B1" s="15"/>
      <c r="C1" s="15"/>
      <c r="D1" s="15"/>
      <c r="E1" s="15"/>
      <c r="F1" s="15"/>
    </row>
    <row r="2" spans="1:6" ht="33.75" customHeight="1" x14ac:dyDescent="0.25">
      <c r="A2" s="18" t="s">
        <v>1</v>
      </c>
      <c r="B2" s="18"/>
      <c r="C2" s="18"/>
      <c r="D2" s="18"/>
      <c r="E2" s="18"/>
      <c r="F2" s="18"/>
    </row>
    <row r="4" spans="1:6" ht="30" customHeight="1" x14ac:dyDescent="0.25">
      <c r="A4" s="4" t="s">
        <v>2</v>
      </c>
      <c r="B4" s="4" t="s">
        <v>3</v>
      </c>
      <c r="C4" s="4" t="s">
        <v>4</v>
      </c>
    </row>
    <row r="5" spans="1:6" ht="39.75" customHeight="1" x14ac:dyDescent="0.25">
      <c r="A5" s="5" t="s">
        <v>5</v>
      </c>
      <c r="B5" s="5" t="s">
        <v>6</v>
      </c>
      <c r="C5" s="5" t="s">
        <v>7</v>
      </c>
    </row>
    <row r="6" spans="1:6" ht="39.75" customHeight="1" x14ac:dyDescent="0.25">
      <c r="A6" s="5" t="s">
        <v>8</v>
      </c>
      <c r="B6" s="5" t="s">
        <v>9</v>
      </c>
      <c r="C6" s="5" t="s">
        <v>10</v>
      </c>
    </row>
    <row r="7" spans="1:6" ht="39.75" customHeight="1" x14ac:dyDescent="0.25">
      <c r="A7" s="5" t="s">
        <v>11</v>
      </c>
      <c r="B7" s="5" t="s">
        <v>12</v>
      </c>
      <c r="C7" s="5" t="s">
        <v>13</v>
      </c>
    </row>
    <row r="8" spans="1:6" ht="39.75" customHeight="1" x14ac:dyDescent="0.25">
      <c r="A8" s="5" t="s">
        <v>14</v>
      </c>
      <c r="B8" s="5" t="s">
        <v>15</v>
      </c>
      <c r="C8" s="5" t="s">
        <v>16</v>
      </c>
    </row>
    <row r="9" spans="1:6" ht="39.75" customHeight="1" x14ac:dyDescent="0.25">
      <c r="A9" s="5" t="s">
        <v>17</v>
      </c>
      <c r="B9" s="5" t="s">
        <v>18</v>
      </c>
      <c r="C9" s="5" t="s">
        <v>19</v>
      </c>
    </row>
    <row r="10" spans="1:6" ht="39.75" customHeight="1" x14ac:dyDescent="0.25">
      <c r="A10" s="5" t="s">
        <v>20</v>
      </c>
      <c r="B10" s="5" t="s">
        <v>21</v>
      </c>
      <c r="C10" s="5" t="s">
        <v>22</v>
      </c>
    </row>
    <row r="11" spans="1:6" ht="39.75" customHeight="1" x14ac:dyDescent="0.25">
      <c r="A11" s="5" t="s">
        <v>23</v>
      </c>
      <c r="B11" s="5" t="s">
        <v>24</v>
      </c>
      <c r="C11" s="5" t="s">
        <v>25</v>
      </c>
    </row>
    <row r="13" spans="1:6" ht="15" customHeight="1" x14ac:dyDescent="0.25">
      <c r="A13" s="19" t="s">
        <v>26</v>
      </c>
      <c r="B13" s="19"/>
      <c r="C13" s="19"/>
      <c r="D13" s="19"/>
      <c r="E13" s="19"/>
      <c r="F13" s="19"/>
    </row>
    <row r="14" spans="1:6" ht="14.25" customHeight="1" x14ac:dyDescent="0.25">
      <c r="A14" s="20" t="s">
        <v>27</v>
      </c>
      <c r="B14" s="20"/>
      <c r="C14" s="20"/>
      <c r="D14" s="20"/>
      <c r="E14" s="20"/>
      <c r="F14" s="20"/>
    </row>
    <row r="15" spans="1:6" x14ac:dyDescent="0.25">
      <c r="A15" s="20"/>
      <c r="B15" s="20"/>
      <c r="C15" s="20"/>
      <c r="D15" s="20"/>
      <c r="E15" s="20"/>
      <c r="F15" s="20"/>
    </row>
    <row r="16" spans="1:6" x14ac:dyDescent="0.25">
      <c r="A16" s="20"/>
      <c r="B16" s="20"/>
      <c r="C16" s="20"/>
      <c r="D16" s="20"/>
      <c r="E16" s="20"/>
      <c r="F16" s="20"/>
    </row>
    <row r="17" spans="1:6" x14ac:dyDescent="0.25">
      <c r="A17" s="20"/>
      <c r="B17" s="20"/>
      <c r="C17" s="20"/>
      <c r="D17" s="20"/>
      <c r="E17" s="20"/>
      <c r="F17" s="20"/>
    </row>
    <row r="18" spans="1:6" x14ac:dyDescent="0.25">
      <c r="A18" s="20"/>
      <c r="B18" s="20"/>
      <c r="C18" s="20"/>
      <c r="D18" s="20"/>
      <c r="E18" s="20"/>
      <c r="F18" s="20"/>
    </row>
  </sheetData>
  <mergeCells count="4">
    <mergeCell ref="A1:F1"/>
    <mergeCell ref="A2:F2"/>
    <mergeCell ref="A13:F13"/>
    <mergeCell ref="A14:F1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zoomScaleNormal="100" workbookViewId="0">
      <selection activeCell="E18" sqref="E18"/>
    </sheetView>
  </sheetViews>
  <sheetFormatPr defaultColWidth="8.7109375" defaultRowHeight="15" x14ac:dyDescent="0.25"/>
  <cols>
    <col min="1" max="1" width="27" customWidth="1"/>
    <col min="2" max="2" width="38" customWidth="1"/>
    <col min="3" max="3" width="4" customWidth="1"/>
    <col min="4" max="4" width="25" customWidth="1"/>
    <col min="5" max="5" width="18" customWidth="1"/>
    <col min="6" max="8" width="16" customWidth="1"/>
  </cols>
  <sheetData>
    <row r="1" spans="1:8" ht="33.75" customHeight="1" x14ac:dyDescent="0.25">
      <c r="A1" s="15" t="s">
        <v>28</v>
      </c>
      <c r="B1" s="15"/>
      <c r="C1" s="15"/>
      <c r="D1" s="15"/>
      <c r="E1" s="15"/>
      <c r="F1" s="15"/>
      <c r="G1" s="15"/>
      <c r="H1" s="15"/>
    </row>
    <row r="3" spans="1:8" ht="15" customHeight="1" x14ac:dyDescent="0.25">
      <c r="A3" s="2" t="s">
        <v>29</v>
      </c>
      <c r="B3" s="3" t="s">
        <v>30</v>
      </c>
      <c r="D3" s="21" t="s">
        <v>31</v>
      </c>
      <c r="E3" s="21"/>
      <c r="F3" s="21"/>
      <c r="G3" s="21"/>
      <c r="H3" s="21"/>
    </row>
    <row r="4" spans="1:8" ht="15" customHeight="1" x14ac:dyDescent="0.25">
      <c r="A4" s="2" t="s">
        <v>32</v>
      </c>
      <c r="B4" s="3" t="s">
        <v>33</v>
      </c>
      <c r="D4" s="6" t="s">
        <v>34</v>
      </c>
      <c r="E4" s="7">
        <f>COUNTA('Design Progress'!A4:A33)</f>
        <v>12</v>
      </c>
    </row>
    <row r="5" spans="1:8" ht="15" customHeight="1" x14ac:dyDescent="0.25">
      <c r="A5" s="2" t="s">
        <v>35</v>
      </c>
      <c r="B5" s="3" t="s">
        <v>33</v>
      </c>
      <c r="D5" s="6" t="s">
        <v>36</v>
      </c>
      <c r="E5" s="7">
        <f>COUNTIF('Design Progress'!G4:G33,"Completed")</f>
        <v>11</v>
      </c>
    </row>
    <row r="6" spans="1:8" ht="15" customHeight="1" x14ac:dyDescent="0.25">
      <c r="A6" s="2" t="s">
        <v>37</v>
      </c>
      <c r="B6" s="3" t="s">
        <v>38</v>
      </c>
      <c r="D6" s="6" t="s">
        <v>39</v>
      </c>
      <c r="E6" s="7">
        <f>COUNTIF('Design Progress'!G4:G33,"In Progress")</f>
        <v>1</v>
      </c>
    </row>
    <row r="7" spans="1:8" ht="15" customHeight="1" x14ac:dyDescent="0.25">
      <c r="A7" s="2" t="s">
        <v>40</v>
      </c>
      <c r="B7" s="3">
        <v>10</v>
      </c>
      <c r="D7" s="6" t="s">
        <v>41</v>
      </c>
      <c r="E7" s="7">
        <f>COUNTIF('Design Progress'!G4:G33,"Blocked")</f>
        <v>0</v>
      </c>
    </row>
    <row r="8" spans="1:8" ht="15" customHeight="1" x14ac:dyDescent="0.25">
      <c r="A8" s="2" t="s">
        <v>42</v>
      </c>
      <c r="B8" s="3" t="s">
        <v>261</v>
      </c>
      <c r="D8" s="6" t="s">
        <v>43</v>
      </c>
      <c r="E8" s="8">
        <f>IFERROR(AVERAGE('Design Progress'!H4:H33),0)</f>
        <v>0.95833333333333337</v>
      </c>
    </row>
    <row r="9" spans="1:8" ht="15" customHeight="1" x14ac:dyDescent="0.25">
      <c r="A9" s="2" t="s">
        <v>44</v>
      </c>
      <c r="B9" s="3" t="s">
        <v>45</v>
      </c>
    </row>
    <row r="10" spans="1:8" ht="15" customHeight="1" x14ac:dyDescent="0.25">
      <c r="A10" s="2" t="s">
        <v>46</v>
      </c>
      <c r="B10" s="3" t="s">
        <v>39</v>
      </c>
      <c r="D10" s="19" t="s">
        <v>47</v>
      </c>
      <c r="E10" s="19"/>
      <c r="F10" s="19"/>
      <c r="G10" s="19"/>
      <c r="H10" s="19"/>
    </row>
    <row r="11" spans="1:8" ht="14.25" customHeight="1" x14ac:dyDescent="0.25">
      <c r="D11" s="20" t="s">
        <v>48</v>
      </c>
      <c r="E11" s="20"/>
      <c r="F11" s="20"/>
      <c r="G11" s="20"/>
      <c r="H11" s="20"/>
    </row>
    <row r="12" spans="1:8" x14ac:dyDescent="0.25">
      <c r="D12" s="20"/>
      <c r="E12" s="20"/>
      <c r="F12" s="20"/>
      <c r="G12" s="20"/>
      <c r="H12" s="20"/>
    </row>
    <row r="13" spans="1:8" x14ac:dyDescent="0.25">
      <c r="D13" s="20"/>
      <c r="E13" s="20"/>
      <c r="F13" s="20"/>
      <c r="G13" s="20"/>
      <c r="H13" s="20"/>
    </row>
    <row r="14" spans="1:8" x14ac:dyDescent="0.25">
      <c r="D14" s="20"/>
      <c r="E14" s="20"/>
      <c r="F14" s="20"/>
      <c r="G14" s="20"/>
      <c r="H14" s="20"/>
    </row>
    <row r="15" spans="1:8" x14ac:dyDescent="0.25">
      <c r="D15" s="20"/>
      <c r="E15" s="20"/>
      <c r="F15" s="20"/>
      <c r="G15" s="20"/>
      <c r="H15" s="20"/>
    </row>
  </sheetData>
  <mergeCells count="4">
    <mergeCell ref="A1:H1"/>
    <mergeCell ref="D3:H3"/>
    <mergeCell ref="D10:H10"/>
    <mergeCell ref="D11:H15"/>
  </mergeCells>
  <dataValidations count="1">
    <dataValidation type="list" sqref="B10" xr:uid="{00000000-0002-0000-0100-000000000000}">
      <formula1>"Not Started,In Progress,Completed,Blocked"</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topLeftCell="A4" zoomScaleNormal="100" workbookViewId="0">
      <selection activeCell="H8" sqref="H8"/>
    </sheetView>
  </sheetViews>
  <sheetFormatPr defaultColWidth="8.7109375" defaultRowHeight="15" x14ac:dyDescent="0.25"/>
  <cols>
    <col min="1" max="1" width="11" customWidth="1"/>
    <col min="2" max="2" width="26" customWidth="1"/>
    <col min="3" max="3" width="44" customWidth="1"/>
    <col min="4" max="4" width="25" customWidth="1"/>
    <col min="5" max="7" width="15" customWidth="1"/>
    <col min="8" max="8" width="12" customWidth="1"/>
    <col min="9" max="10" width="34" customWidth="1"/>
  </cols>
  <sheetData>
    <row r="1" spans="1:10" ht="33.75" customHeight="1" x14ac:dyDescent="0.25">
      <c r="A1" s="15" t="s">
        <v>49</v>
      </c>
      <c r="B1" s="15"/>
      <c r="C1" s="15"/>
      <c r="D1" s="15"/>
      <c r="E1" s="15"/>
      <c r="F1" s="15"/>
      <c r="G1" s="15"/>
      <c r="H1" s="15"/>
      <c r="I1" s="15"/>
      <c r="J1" s="15"/>
    </row>
    <row r="3" spans="1:10" ht="30" customHeight="1" x14ac:dyDescent="0.25">
      <c r="A3" s="4" t="s">
        <v>50</v>
      </c>
      <c r="B3" s="4" t="s">
        <v>51</v>
      </c>
      <c r="C3" s="4" t="s">
        <v>52</v>
      </c>
      <c r="D3" s="4" t="s">
        <v>53</v>
      </c>
      <c r="E3" s="4" t="s">
        <v>54</v>
      </c>
      <c r="F3" s="4" t="s">
        <v>55</v>
      </c>
      <c r="G3" s="4" t="s">
        <v>56</v>
      </c>
      <c r="H3" s="4" t="s">
        <v>57</v>
      </c>
      <c r="I3" s="4" t="s">
        <v>58</v>
      </c>
      <c r="J3" s="4" t="s">
        <v>59</v>
      </c>
    </row>
    <row r="4" spans="1:10" ht="45.75" customHeight="1" x14ac:dyDescent="0.25">
      <c r="A4" s="5" t="s">
        <v>60</v>
      </c>
      <c r="B4" s="5" t="s">
        <v>61</v>
      </c>
      <c r="C4" s="5" t="s">
        <v>62</v>
      </c>
      <c r="D4" s="3" t="s">
        <v>63</v>
      </c>
      <c r="E4" s="9">
        <v>46282</v>
      </c>
      <c r="F4" s="9">
        <v>46287</v>
      </c>
      <c r="G4" s="3" t="s">
        <v>36</v>
      </c>
      <c r="H4" s="10">
        <v>1</v>
      </c>
      <c r="I4" s="3" t="s">
        <v>64</v>
      </c>
      <c r="J4" s="3" t="s">
        <v>65</v>
      </c>
    </row>
    <row r="5" spans="1:10" ht="31.5" customHeight="1" x14ac:dyDescent="0.25">
      <c r="A5" s="5" t="s">
        <v>66</v>
      </c>
      <c r="B5" s="5" t="s">
        <v>67</v>
      </c>
      <c r="C5" s="5" t="s">
        <v>68</v>
      </c>
      <c r="D5" s="3" t="s">
        <v>69</v>
      </c>
      <c r="E5" s="9">
        <v>46297</v>
      </c>
      <c r="F5" s="9">
        <v>46300</v>
      </c>
      <c r="G5" s="3" t="s">
        <v>36</v>
      </c>
      <c r="H5" s="10">
        <v>1</v>
      </c>
      <c r="I5" s="3" t="s">
        <v>67</v>
      </c>
      <c r="J5" s="3"/>
    </row>
    <row r="6" spans="1:10" ht="45.75" customHeight="1" x14ac:dyDescent="0.25">
      <c r="A6" s="5" t="s">
        <v>70</v>
      </c>
      <c r="B6" s="5" t="s">
        <v>71</v>
      </c>
      <c r="C6" s="5" t="s">
        <v>72</v>
      </c>
      <c r="D6" s="3" t="s">
        <v>73</v>
      </c>
      <c r="E6" s="9">
        <v>46297</v>
      </c>
      <c r="F6" s="9">
        <v>46302</v>
      </c>
      <c r="G6" s="3" t="s">
        <v>36</v>
      </c>
      <c r="H6" s="10">
        <v>1</v>
      </c>
      <c r="I6" s="3" t="s">
        <v>74</v>
      </c>
      <c r="J6" s="3" t="s">
        <v>75</v>
      </c>
    </row>
    <row r="7" spans="1:10" ht="31.5" customHeight="1" x14ac:dyDescent="0.25">
      <c r="A7" s="5" t="s">
        <v>76</v>
      </c>
      <c r="B7" s="5" t="s">
        <v>77</v>
      </c>
      <c r="C7" s="5" t="s">
        <v>78</v>
      </c>
      <c r="D7" s="3" t="s">
        <v>73</v>
      </c>
      <c r="E7" s="9">
        <v>46297</v>
      </c>
      <c r="F7" s="9">
        <v>46302</v>
      </c>
      <c r="G7" s="3" t="s">
        <v>36</v>
      </c>
      <c r="H7" s="10">
        <v>1</v>
      </c>
      <c r="I7" s="3" t="s">
        <v>74</v>
      </c>
      <c r="J7" s="3" t="s">
        <v>79</v>
      </c>
    </row>
    <row r="8" spans="1:10" ht="31.5" customHeight="1" x14ac:dyDescent="0.25">
      <c r="A8" s="5" t="s">
        <v>80</v>
      </c>
      <c r="B8" s="5" t="s">
        <v>81</v>
      </c>
      <c r="C8" s="5" t="s">
        <v>82</v>
      </c>
      <c r="D8" s="3" t="s">
        <v>83</v>
      </c>
      <c r="E8" s="9">
        <v>46286</v>
      </c>
      <c r="F8" s="9">
        <v>46286</v>
      </c>
      <c r="G8" s="3" t="s">
        <v>36</v>
      </c>
      <c r="H8" s="10">
        <v>1</v>
      </c>
      <c r="I8" s="3" t="s">
        <v>81</v>
      </c>
      <c r="J8" s="3" t="s">
        <v>84</v>
      </c>
    </row>
    <row r="9" spans="1:10" ht="18" customHeight="1" x14ac:dyDescent="0.25">
      <c r="A9" s="5" t="s">
        <v>85</v>
      </c>
      <c r="B9" s="5" t="s">
        <v>86</v>
      </c>
      <c r="C9" s="5" t="s">
        <v>87</v>
      </c>
      <c r="D9" s="3" t="s">
        <v>88</v>
      </c>
      <c r="E9" s="9">
        <v>46300</v>
      </c>
      <c r="F9" s="9">
        <v>46302</v>
      </c>
      <c r="G9" s="3" t="s">
        <v>36</v>
      </c>
      <c r="H9" s="10">
        <v>1</v>
      </c>
      <c r="I9" s="3" t="s">
        <v>89</v>
      </c>
      <c r="J9" s="3"/>
    </row>
    <row r="10" spans="1:10" ht="18" customHeight="1" x14ac:dyDescent="0.25">
      <c r="A10" s="5" t="s">
        <v>90</v>
      </c>
      <c r="B10" s="5" t="s">
        <v>91</v>
      </c>
      <c r="C10" s="5" t="s">
        <v>92</v>
      </c>
      <c r="D10" s="3" t="s">
        <v>93</v>
      </c>
      <c r="E10" s="9">
        <v>46300</v>
      </c>
      <c r="F10" s="9">
        <v>46302</v>
      </c>
      <c r="G10" s="3" t="s">
        <v>36</v>
      </c>
      <c r="H10" s="10">
        <v>1</v>
      </c>
      <c r="I10" s="3" t="s">
        <v>94</v>
      </c>
      <c r="J10" s="3"/>
    </row>
    <row r="11" spans="1:10" ht="45.75" customHeight="1" x14ac:dyDescent="0.25">
      <c r="A11" s="5" t="s">
        <v>95</v>
      </c>
      <c r="B11" s="5" t="s">
        <v>96</v>
      </c>
      <c r="C11" s="5" t="s">
        <v>97</v>
      </c>
      <c r="D11" s="11" t="s">
        <v>98</v>
      </c>
      <c r="E11" s="9">
        <v>46304</v>
      </c>
      <c r="F11" s="9">
        <v>46304</v>
      </c>
      <c r="G11" s="3" t="s">
        <v>36</v>
      </c>
      <c r="H11" s="10">
        <v>1</v>
      </c>
      <c r="I11" s="3" t="s">
        <v>99</v>
      </c>
      <c r="J11" s="3" t="s">
        <v>100</v>
      </c>
    </row>
    <row r="12" spans="1:10" ht="31.5" customHeight="1" x14ac:dyDescent="0.25">
      <c r="A12" s="5" t="s">
        <v>101</v>
      </c>
      <c r="B12" s="5" t="s">
        <v>102</v>
      </c>
      <c r="C12" s="5" t="s">
        <v>103</v>
      </c>
      <c r="D12" s="3" t="s">
        <v>104</v>
      </c>
      <c r="E12" s="9">
        <v>46306</v>
      </c>
      <c r="F12" s="9">
        <v>46307</v>
      </c>
      <c r="G12" s="3" t="s">
        <v>36</v>
      </c>
      <c r="H12" s="10">
        <v>1</v>
      </c>
      <c r="I12" s="3" t="s">
        <v>105</v>
      </c>
      <c r="J12" s="3" t="s">
        <v>106</v>
      </c>
    </row>
    <row r="13" spans="1:10" ht="31.5" customHeight="1" x14ac:dyDescent="0.25">
      <c r="A13" s="5" t="s">
        <v>107</v>
      </c>
      <c r="B13" s="5" t="s">
        <v>108</v>
      </c>
      <c r="C13" s="5" t="s">
        <v>109</v>
      </c>
      <c r="D13" s="3" t="s">
        <v>110</v>
      </c>
      <c r="E13" s="9">
        <v>46304</v>
      </c>
      <c r="F13" s="9">
        <v>46304</v>
      </c>
      <c r="G13" s="3" t="s">
        <v>36</v>
      </c>
      <c r="H13" s="10">
        <v>1</v>
      </c>
      <c r="I13" s="3" t="s">
        <v>111</v>
      </c>
      <c r="J13" s="3" t="s">
        <v>112</v>
      </c>
    </row>
    <row r="14" spans="1:10" ht="45.75" customHeight="1" x14ac:dyDescent="0.25">
      <c r="A14" s="5" t="s">
        <v>113</v>
      </c>
      <c r="B14" s="5" t="s">
        <v>114</v>
      </c>
      <c r="C14" s="5" t="s">
        <v>115</v>
      </c>
      <c r="D14" s="3" t="s">
        <v>116</v>
      </c>
      <c r="E14" s="9">
        <v>46304</v>
      </c>
      <c r="F14" s="9">
        <v>46304</v>
      </c>
      <c r="G14" s="3" t="s">
        <v>36</v>
      </c>
      <c r="H14" s="10">
        <v>1</v>
      </c>
      <c r="I14" s="3" t="s">
        <v>117</v>
      </c>
      <c r="J14" s="3" t="s">
        <v>118</v>
      </c>
    </row>
    <row r="15" spans="1:10" ht="45.75" customHeight="1" x14ac:dyDescent="0.25">
      <c r="A15" s="5" t="s">
        <v>119</v>
      </c>
      <c r="B15" s="5" t="s">
        <v>120</v>
      </c>
      <c r="C15" s="5" t="s">
        <v>121</v>
      </c>
      <c r="D15" s="3" t="s">
        <v>122</v>
      </c>
      <c r="E15" s="9">
        <v>46311</v>
      </c>
      <c r="F15" s="9"/>
      <c r="G15" s="3" t="s">
        <v>39</v>
      </c>
      <c r="H15" s="10">
        <v>0.5</v>
      </c>
      <c r="I15" s="3"/>
      <c r="J15" s="3" t="s">
        <v>123</v>
      </c>
    </row>
    <row r="16" spans="1:10" x14ac:dyDescent="0.25">
      <c r="A16" s="5"/>
      <c r="B16" s="5"/>
      <c r="C16" s="5"/>
      <c r="D16" s="3"/>
      <c r="E16" s="3"/>
      <c r="F16" s="3"/>
      <c r="G16" s="3"/>
      <c r="H16" s="10"/>
      <c r="I16" s="3"/>
      <c r="J16" s="3"/>
    </row>
    <row r="17" spans="1:10" x14ac:dyDescent="0.25">
      <c r="A17" s="5"/>
      <c r="B17" s="5"/>
      <c r="C17" s="5"/>
      <c r="D17" s="3"/>
      <c r="E17" s="3"/>
      <c r="F17" s="3"/>
      <c r="G17" s="3"/>
      <c r="H17" s="10"/>
      <c r="I17" s="3"/>
      <c r="J17" s="3"/>
    </row>
    <row r="18" spans="1:10" x14ac:dyDescent="0.25">
      <c r="A18" s="5"/>
      <c r="B18" s="5"/>
      <c r="C18" s="5"/>
      <c r="D18" s="3"/>
      <c r="E18" s="3"/>
      <c r="F18" s="3"/>
      <c r="G18" s="3"/>
      <c r="H18" s="10"/>
      <c r="I18" s="3"/>
      <c r="J18" s="3"/>
    </row>
    <row r="19" spans="1:10" x14ac:dyDescent="0.25">
      <c r="A19" s="5"/>
      <c r="B19" s="5"/>
      <c r="C19" s="5"/>
      <c r="D19" s="3"/>
      <c r="E19" s="3"/>
      <c r="F19" s="3"/>
      <c r="G19" s="3"/>
      <c r="H19" s="10"/>
      <c r="I19" s="3"/>
      <c r="J19" s="3"/>
    </row>
    <row r="20" spans="1:10" x14ac:dyDescent="0.25">
      <c r="A20" s="5"/>
      <c r="B20" s="5"/>
      <c r="C20" s="5"/>
      <c r="D20" s="3"/>
      <c r="E20" s="3"/>
      <c r="F20" s="3"/>
      <c r="G20" s="3"/>
      <c r="H20" s="10"/>
      <c r="I20" s="3"/>
      <c r="J20" s="3"/>
    </row>
    <row r="21" spans="1:10" x14ac:dyDescent="0.25">
      <c r="A21" s="5"/>
      <c r="B21" s="5"/>
      <c r="C21" s="5"/>
      <c r="D21" s="3"/>
      <c r="E21" s="3"/>
      <c r="F21" s="3"/>
      <c r="G21" s="3"/>
      <c r="H21" s="10"/>
      <c r="I21" s="3"/>
      <c r="J21" s="3"/>
    </row>
    <row r="22" spans="1:10" x14ac:dyDescent="0.25">
      <c r="A22" s="5"/>
      <c r="B22" s="5"/>
      <c r="C22" s="5"/>
      <c r="D22" s="3"/>
      <c r="E22" s="3"/>
      <c r="F22" s="3"/>
      <c r="G22" s="3"/>
      <c r="H22" s="10"/>
      <c r="I22" s="3"/>
      <c r="J22" s="3"/>
    </row>
    <row r="23" spans="1:10" x14ac:dyDescent="0.25">
      <c r="A23" s="5"/>
      <c r="B23" s="5"/>
      <c r="C23" s="5"/>
      <c r="D23" s="3"/>
      <c r="E23" s="3"/>
      <c r="F23" s="3"/>
      <c r="G23" s="3"/>
      <c r="H23" s="10"/>
      <c r="I23" s="3"/>
      <c r="J23" s="3"/>
    </row>
    <row r="24" spans="1:10" x14ac:dyDescent="0.25">
      <c r="A24" s="5"/>
      <c r="B24" s="5"/>
      <c r="C24" s="5"/>
      <c r="D24" s="3"/>
      <c r="E24" s="3"/>
      <c r="F24" s="3"/>
      <c r="G24" s="3"/>
      <c r="H24" s="10"/>
      <c r="I24" s="3"/>
      <c r="J24" s="3"/>
    </row>
    <row r="25" spans="1:10" x14ac:dyDescent="0.25">
      <c r="A25" s="5"/>
      <c r="B25" s="5"/>
      <c r="C25" s="5"/>
      <c r="D25" s="3"/>
      <c r="E25" s="3"/>
      <c r="F25" s="3"/>
      <c r="G25" s="3"/>
      <c r="H25" s="10"/>
      <c r="I25" s="3"/>
      <c r="J25" s="3"/>
    </row>
    <row r="26" spans="1:10" x14ac:dyDescent="0.25">
      <c r="A26" s="5"/>
      <c r="B26" s="5"/>
      <c r="C26" s="5"/>
      <c r="D26" s="3"/>
      <c r="E26" s="3"/>
      <c r="F26" s="3"/>
      <c r="G26" s="3"/>
      <c r="H26" s="10"/>
      <c r="I26" s="3"/>
      <c r="J26" s="3"/>
    </row>
    <row r="27" spans="1:10" x14ac:dyDescent="0.25">
      <c r="A27" s="5"/>
      <c r="B27" s="5"/>
      <c r="C27" s="5"/>
      <c r="D27" s="3"/>
      <c r="E27" s="3"/>
      <c r="F27" s="3"/>
      <c r="G27" s="3"/>
      <c r="H27" s="10"/>
      <c r="I27" s="3"/>
      <c r="J27" s="3"/>
    </row>
    <row r="28" spans="1:10" x14ac:dyDescent="0.25">
      <c r="A28" s="5"/>
      <c r="B28" s="5"/>
      <c r="C28" s="5"/>
      <c r="D28" s="3"/>
      <c r="E28" s="3"/>
      <c r="F28" s="3"/>
      <c r="G28" s="3"/>
      <c r="H28" s="10"/>
      <c r="I28" s="3"/>
      <c r="J28" s="3"/>
    </row>
    <row r="29" spans="1:10" x14ac:dyDescent="0.25">
      <c r="A29" s="5"/>
      <c r="B29" s="5"/>
      <c r="C29" s="5"/>
      <c r="D29" s="3"/>
      <c r="E29" s="3"/>
      <c r="F29" s="3"/>
      <c r="G29" s="3"/>
      <c r="H29" s="10"/>
      <c r="I29" s="3"/>
      <c r="J29" s="3"/>
    </row>
    <row r="30" spans="1:10" x14ac:dyDescent="0.25">
      <c r="A30" s="5"/>
      <c r="B30" s="5"/>
      <c r="C30" s="5"/>
      <c r="D30" s="3"/>
      <c r="E30" s="3"/>
      <c r="F30" s="3"/>
      <c r="G30" s="3"/>
      <c r="H30" s="10"/>
      <c r="I30" s="3"/>
      <c r="J30" s="3"/>
    </row>
    <row r="31" spans="1:10" x14ac:dyDescent="0.25">
      <c r="A31" s="5"/>
      <c r="B31" s="5"/>
      <c r="C31" s="5"/>
      <c r="D31" s="3"/>
      <c r="E31" s="3"/>
      <c r="F31" s="3"/>
      <c r="G31" s="3"/>
      <c r="H31" s="10"/>
      <c r="I31" s="3"/>
      <c r="J31" s="3"/>
    </row>
    <row r="32" spans="1:10" x14ac:dyDescent="0.25">
      <c r="A32" s="5"/>
      <c r="B32" s="5"/>
      <c r="C32" s="5"/>
      <c r="D32" s="3"/>
      <c r="E32" s="3"/>
      <c r="F32" s="3"/>
      <c r="G32" s="3"/>
      <c r="H32" s="10"/>
      <c r="I32" s="3"/>
      <c r="J32" s="3"/>
    </row>
    <row r="33" spans="1:10" x14ac:dyDescent="0.25">
      <c r="A33" s="5"/>
      <c r="B33" s="5"/>
      <c r="C33" s="5"/>
      <c r="D33" s="3"/>
      <c r="E33" s="3"/>
      <c r="F33" s="3"/>
      <c r="G33" s="3"/>
      <c r="H33" s="10"/>
      <c r="I33" s="3"/>
      <c r="J33" s="3"/>
    </row>
  </sheetData>
  <mergeCells count="1">
    <mergeCell ref="A1:J1"/>
  </mergeCells>
  <conditionalFormatting sqref="G4:G33">
    <cfRule type="expression" dxfId="4" priority="2">
      <formula>G4="Completed"</formula>
    </cfRule>
    <cfRule type="expression" dxfId="3" priority="3">
      <formula>G4="Blocked"</formula>
    </cfRule>
  </conditionalFormatting>
  <conditionalFormatting sqref="H4:H33">
    <cfRule type="dataBar" priority="4">
      <dataBar>
        <cfvo type="min"/>
        <cfvo type="max"/>
        <color rgb="FFA02B93"/>
      </dataBar>
      <extLst>
        <ext xmlns:x14="http://schemas.microsoft.com/office/spreadsheetml/2009/9/main" uri="{B025F937-C7B1-47D3-B67F-A62EFF666E3E}">
          <x14:id>{2BF51846-6E1E-4EB4-BA78-DA26835179BE}</x14:id>
        </ext>
      </extLst>
    </cfRule>
    <cfRule type="dataBar" priority="5">
      <dataBar>
        <cfvo type="min"/>
        <cfvo type="max"/>
        <color rgb="FFA02B93"/>
      </dataBar>
      <extLst>
        <ext xmlns:x14="http://schemas.microsoft.com/office/spreadsheetml/2009/9/main" uri="{B025F937-C7B1-47D3-B67F-A62EFF666E3E}">
          <x14:id>{454EACEF-C9CC-4FC4-9C95-EBAAB4C65013}</x14:id>
        </ext>
      </extLst>
    </cfRule>
  </conditionalFormatting>
  <dataValidations count="1">
    <dataValidation type="list" sqref="G4:G33" xr:uid="{00000000-0002-0000-0200-000000000000}">
      <formula1>"Not Started,In Progress,Completed,Blocked"</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2BF51846-6E1E-4EB4-BA78-DA26835179BE}">
            <x14:dataBar axisPosition="none">
              <x14:cfvo type="min"/>
              <x14:cfvo type="max"/>
              <x14:negativeFillColor rgb="FFA02B93"/>
            </x14:dataBar>
          </x14:cfRule>
          <x14:cfRule type="dataBar" id="{454EACEF-C9CC-4FC4-9C95-EBAAB4C65013}">
            <x14:dataBar axisPosition="none">
              <x14:cfvo type="min"/>
              <x14:cfvo type="max"/>
              <x14:negativeFillColor rgb="FFA02B93"/>
            </x14:dataBar>
          </x14:cfRule>
          <xm:sqref>H4:H33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3"/>
  <sheetViews>
    <sheetView tabSelected="1" topLeftCell="E4" zoomScaleNormal="100" workbookViewId="0">
      <selection activeCell="K4" sqref="K4"/>
    </sheetView>
  </sheetViews>
  <sheetFormatPr defaultColWidth="8.7109375" defaultRowHeight="15" x14ac:dyDescent="0.25"/>
  <cols>
    <col min="1" max="1" width="22" customWidth="1"/>
    <col min="2" max="2" width="16" customWidth="1"/>
    <col min="3" max="3" width="24" customWidth="1"/>
    <col min="4" max="4" width="28" customWidth="1"/>
    <col min="5" max="5" width="40" customWidth="1"/>
    <col min="6" max="6" width="15" customWidth="1"/>
    <col min="7" max="7" width="12" customWidth="1"/>
    <col min="8" max="8" width="34" customWidth="1"/>
    <col min="9" max="10" width="15" customWidth="1"/>
    <col min="11" max="11" width="34" customWidth="1"/>
    <col min="12" max="12" width="16" customWidth="1"/>
  </cols>
  <sheetData>
    <row r="1" spans="1:12" ht="33.75" customHeight="1" x14ac:dyDescent="0.25">
      <c r="A1" s="15" t="s">
        <v>124</v>
      </c>
      <c r="B1" s="15"/>
      <c r="C1" s="15"/>
      <c r="D1" s="15"/>
      <c r="E1" s="15"/>
      <c r="F1" s="15"/>
      <c r="G1" s="15"/>
      <c r="H1" s="15"/>
      <c r="I1" s="15"/>
      <c r="J1" s="15"/>
      <c r="K1" s="15"/>
      <c r="L1" s="15"/>
    </row>
    <row r="3" spans="1:12" ht="30" customHeight="1" x14ac:dyDescent="0.25">
      <c r="A3" s="4" t="s">
        <v>125</v>
      </c>
      <c r="B3" s="4" t="s">
        <v>126</v>
      </c>
      <c r="C3" s="4" t="s">
        <v>127</v>
      </c>
      <c r="D3" s="4" t="s">
        <v>128</v>
      </c>
      <c r="E3" s="4" t="s">
        <v>129</v>
      </c>
      <c r="F3" s="4" t="s">
        <v>130</v>
      </c>
      <c r="G3" s="4" t="s">
        <v>131</v>
      </c>
      <c r="H3" s="4" t="s">
        <v>58</v>
      </c>
      <c r="I3" s="4" t="s">
        <v>132</v>
      </c>
      <c r="J3" s="4" t="s">
        <v>133</v>
      </c>
      <c r="K3" s="4" t="s">
        <v>134</v>
      </c>
      <c r="L3" s="4" t="s">
        <v>135</v>
      </c>
    </row>
    <row r="4" spans="1:12" ht="73.5" customHeight="1" x14ac:dyDescent="0.25">
      <c r="A4" s="3" t="s">
        <v>136</v>
      </c>
      <c r="B4" s="12">
        <v>221007662</v>
      </c>
      <c r="C4" s="3" t="s">
        <v>137</v>
      </c>
      <c r="D4" s="3" t="s">
        <v>138</v>
      </c>
      <c r="E4" s="3" t="s">
        <v>139</v>
      </c>
      <c r="F4" s="9">
        <v>46302</v>
      </c>
      <c r="G4" s="3">
        <v>12</v>
      </c>
      <c r="H4" s="3" t="s">
        <v>140</v>
      </c>
      <c r="I4" s="3" t="s">
        <v>141</v>
      </c>
      <c r="J4" s="9">
        <v>46303</v>
      </c>
      <c r="K4" s="3" t="s">
        <v>269</v>
      </c>
      <c r="L4" s="3" t="s">
        <v>36</v>
      </c>
    </row>
    <row r="5" spans="1:12" ht="45.75" customHeight="1" x14ac:dyDescent="0.25">
      <c r="A5" s="3" t="s">
        <v>142</v>
      </c>
      <c r="B5" s="12">
        <v>221010874</v>
      </c>
      <c r="C5" s="3" t="s">
        <v>143</v>
      </c>
      <c r="D5" s="3" t="s">
        <v>144</v>
      </c>
      <c r="E5" s="3" t="s">
        <v>145</v>
      </c>
      <c r="F5" s="9">
        <v>46300</v>
      </c>
      <c r="G5" s="3">
        <v>12</v>
      </c>
      <c r="H5" s="3" t="s">
        <v>67</v>
      </c>
      <c r="I5" s="3" t="s">
        <v>141</v>
      </c>
      <c r="J5" s="9">
        <v>46303</v>
      </c>
      <c r="K5" s="3" t="s">
        <v>263</v>
      </c>
      <c r="L5" s="3" t="s">
        <v>36</v>
      </c>
    </row>
    <row r="6" spans="1:12" ht="60" customHeight="1" x14ac:dyDescent="0.25">
      <c r="A6" s="3" t="s">
        <v>146</v>
      </c>
      <c r="B6" s="12">
        <v>223066258</v>
      </c>
      <c r="C6" s="3" t="s">
        <v>147</v>
      </c>
      <c r="D6" s="3" t="s">
        <v>148</v>
      </c>
      <c r="E6" s="3" t="s">
        <v>149</v>
      </c>
      <c r="F6" s="9">
        <v>46304</v>
      </c>
      <c r="G6" s="3">
        <v>7</v>
      </c>
      <c r="H6" s="3" t="s">
        <v>150</v>
      </c>
      <c r="I6" s="3" t="s">
        <v>141</v>
      </c>
      <c r="J6" s="9">
        <v>46305</v>
      </c>
      <c r="K6" s="3" t="s">
        <v>264</v>
      </c>
      <c r="L6" s="3" t="s">
        <v>36</v>
      </c>
    </row>
    <row r="7" spans="1:12" ht="60" customHeight="1" x14ac:dyDescent="0.25">
      <c r="A7" s="3" t="s">
        <v>151</v>
      </c>
      <c r="B7" s="12">
        <v>222033930</v>
      </c>
      <c r="C7" s="3" t="s">
        <v>152</v>
      </c>
      <c r="D7" s="3" t="s">
        <v>153</v>
      </c>
      <c r="E7" s="3" t="s">
        <v>154</v>
      </c>
      <c r="F7" s="9">
        <v>46287</v>
      </c>
      <c r="G7" s="3">
        <v>14</v>
      </c>
      <c r="H7" s="3" t="s">
        <v>155</v>
      </c>
      <c r="I7" s="3" t="s">
        <v>141</v>
      </c>
      <c r="J7" s="9">
        <v>46290</v>
      </c>
      <c r="K7" s="3" t="s">
        <v>265</v>
      </c>
      <c r="L7" s="3" t="s">
        <v>36</v>
      </c>
    </row>
    <row r="8" spans="1:12" ht="60" customHeight="1" x14ac:dyDescent="0.25">
      <c r="A8" s="3" t="s">
        <v>156</v>
      </c>
      <c r="B8" s="12">
        <v>221003431</v>
      </c>
      <c r="C8" s="3" t="s">
        <v>157</v>
      </c>
      <c r="D8" s="3" t="s">
        <v>158</v>
      </c>
      <c r="E8" s="3" t="s">
        <v>159</v>
      </c>
      <c r="F8" s="9">
        <v>46307</v>
      </c>
      <c r="G8" s="3">
        <v>9</v>
      </c>
      <c r="H8" s="3" t="s">
        <v>160</v>
      </c>
      <c r="I8" s="3" t="s">
        <v>141</v>
      </c>
      <c r="J8" s="9">
        <v>46307</v>
      </c>
      <c r="K8" s="3" t="s">
        <v>266</v>
      </c>
      <c r="L8" s="3" t="s">
        <v>36</v>
      </c>
    </row>
    <row r="9" spans="1:12" ht="73.5" customHeight="1" x14ac:dyDescent="0.25">
      <c r="A9" s="3" t="s">
        <v>161</v>
      </c>
      <c r="B9" s="12">
        <v>223038645</v>
      </c>
      <c r="C9" s="3" t="s">
        <v>162</v>
      </c>
      <c r="D9" s="3" t="s">
        <v>163</v>
      </c>
      <c r="E9" s="3" t="s">
        <v>164</v>
      </c>
      <c r="F9" s="9">
        <v>46302</v>
      </c>
      <c r="G9" s="3">
        <v>12</v>
      </c>
      <c r="H9" s="3" t="s">
        <v>165</v>
      </c>
      <c r="I9" s="3" t="s">
        <v>141</v>
      </c>
      <c r="J9" s="9">
        <v>46304</v>
      </c>
      <c r="K9" s="3" t="s">
        <v>267</v>
      </c>
      <c r="L9" s="3" t="s">
        <v>36</v>
      </c>
    </row>
    <row r="10" spans="1:12" ht="60" customHeight="1" x14ac:dyDescent="0.25">
      <c r="A10" s="3" t="s">
        <v>166</v>
      </c>
      <c r="B10" s="12">
        <v>222001440</v>
      </c>
      <c r="C10" s="3" t="s">
        <v>167</v>
      </c>
      <c r="D10" s="3" t="s">
        <v>168</v>
      </c>
      <c r="E10" s="3" t="s">
        <v>169</v>
      </c>
      <c r="F10" s="9">
        <v>46302</v>
      </c>
      <c r="G10" s="3">
        <v>14</v>
      </c>
      <c r="H10" s="3" t="s">
        <v>170</v>
      </c>
      <c r="I10" s="3" t="s">
        <v>141</v>
      </c>
      <c r="J10" s="9">
        <v>46304</v>
      </c>
      <c r="K10" s="3" t="s">
        <v>267</v>
      </c>
      <c r="L10" s="3" t="s">
        <v>36</v>
      </c>
    </row>
    <row r="11" spans="1:12" ht="31.5" customHeight="1" x14ac:dyDescent="0.25">
      <c r="A11" s="3" t="s">
        <v>171</v>
      </c>
      <c r="B11" s="12">
        <v>223019042</v>
      </c>
      <c r="C11" s="3" t="s">
        <v>172</v>
      </c>
      <c r="D11" s="3" t="s">
        <v>173</v>
      </c>
      <c r="E11" s="3" t="s">
        <v>174</v>
      </c>
      <c r="F11" s="9">
        <v>46286</v>
      </c>
      <c r="G11" s="3">
        <v>11</v>
      </c>
      <c r="H11" s="3" t="s">
        <v>81</v>
      </c>
      <c r="I11" s="3" t="s">
        <v>141</v>
      </c>
      <c r="J11" s="9">
        <v>46290</v>
      </c>
      <c r="K11" t="s">
        <v>268</v>
      </c>
      <c r="L11" s="3" t="s">
        <v>36</v>
      </c>
    </row>
    <row r="12" spans="1:12" ht="31.5" customHeight="1" x14ac:dyDescent="0.25">
      <c r="A12" s="3" t="s">
        <v>175</v>
      </c>
      <c r="B12" s="12">
        <v>223002326</v>
      </c>
      <c r="C12" s="3" t="s">
        <v>176</v>
      </c>
      <c r="D12" s="3" t="s">
        <v>177</v>
      </c>
      <c r="E12" s="3" t="s">
        <v>178</v>
      </c>
      <c r="F12" s="9">
        <v>46304</v>
      </c>
      <c r="G12" s="3">
        <v>6</v>
      </c>
      <c r="H12" s="3" t="s">
        <v>179</v>
      </c>
      <c r="I12" s="3" t="s">
        <v>141</v>
      </c>
      <c r="J12" s="9">
        <v>46305</v>
      </c>
      <c r="K12" t="s">
        <v>262</v>
      </c>
      <c r="L12" s="3" t="s">
        <v>36</v>
      </c>
    </row>
    <row r="13" spans="1:12" ht="31.5" customHeight="1" x14ac:dyDescent="0.25">
      <c r="A13" s="3" t="s">
        <v>180</v>
      </c>
      <c r="B13" s="12">
        <v>221011353</v>
      </c>
      <c r="C13" s="3" t="s">
        <v>181</v>
      </c>
      <c r="D13" s="3" t="s">
        <v>182</v>
      </c>
      <c r="E13" s="3" t="s">
        <v>183</v>
      </c>
      <c r="F13" s="9">
        <v>46302</v>
      </c>
      <c r="G13" s="3">
        <v>13</v>
      </c>
      <c r="H13" s="3" t="s">
        <v>170</v>
      </c>
      <c r="I13" s="3" t="s">
        <v>141</v>
      </c>
      <c r="J13" s="9">
        <v>46304</v>
      </c>
      <c r="K13" s="3" t="s">
        <v>267</v>
      </c>
      <c r="L13" s="3" t="s">
        <v>36</v>
      </c>
    </row>
    <row r="14" spans="1:12" x14ac:dyDescent="0.25">
      <c r="A14" s="3"/>
      <c r="B14" s="3"/>
      <c r="C14" s="3"/>
      <c r="D14" s="3"/>
      <c r="E14" s="3"/>
      <c r="F14" s="3"/>
      <c r="G14" s="3"/>
      <c r="H14" s="3"/>
      <c r="I14" s="3" t="s">
        <v>184</v>
      </c>
      <c r="J14" s="3"/>
      <c r="K14" s="3"/>
      <c r="L14" s="3" t="s">
        <v>185</v>
      </c>
    </row>
    <row r="15" spans="1:12" x14ac:dyDescent="0.25">
      <c r="A15" s="3"/>
      <c r="B15" s="3"/>
      <c r="C15" s="3"/>
      <c r="D15" s="3"/>
      <c r="E15" s="3"/>
      <c r="F15" s="3"/>
      <c r="G15" s="3"/>
      <c r="H15" s="3"/>
      <c r="I15" s="3" t="s">
        <v>184</v>
      </c>
      <c r="J15" s="3"/>
      <c r="K15" s="3"/>
      <c r="L15" s="3" t="s">
        <v>185</v>
      </c>
    </row>
    <row r="16" spans="1:12" x14ac:dyDescent="0.25">
      <c r="A16" s="3"/>
      <c r="B16" s="3"/>
      <c r="C16" s="3"/>
      <c r="D16" s="3"/>
      <c r="E16" s="3"/>
      <c r="F16" s="3"/>
      <c r="G16" s="3"/>
      <c r="H16" s="3"/>
      <c r="I16" s="3" t="s">
        <v>184</v>
      </c>
      <c r="J16" s="3"/>
      <c r="K16" s="3"/>
      <c r="L16" s="3" t="s">
        <v>185</v>
      </c>
    </row>
    <row r="17" spans="1:12" x14ac:dyDescent="0.25">
      <c r="A17" s="3"/>
      <c r="B17" s="3"/>
      <c r="C17" s="3"/>
      <c r="D17" s="3"/>
      <c r="E17" s="3"/>
      <c r="F17" s="3"/>
      <c r="G17" s="3"/>
      <c r="H17" s="3"/>
      <c r="I17" s="3" t="s">
        <v>184</v>
      </c>
      <c r="J17" s="3"/>
      <c r="K17" s="3"/>
      <c r="L17" s="3" t="s">
        <v>185</v>
      </c>
    </row>
    <row r="18" spans="1:12" x14ac:dyDescent="0.25">
      <c r="A18" s="3"/>
      <c r="B18" s="3"/>
      <c r="C18" s="3"/>
      <c r="D18" s="3"/>
      <c r="E18" s="3"/>
      <c r="F18" s="3"/>
      <c r="G18" s="3"/>
      <c r="H18" s="3"/>
      <c r="I18" s="3" t="s">
        <v>184</v>
      </c>
      <c r="J18" s="3"/>
      <c r="K18" s="3"/>
      <c r="L18" s="3" t="s">
        <v>185</v>
      </c>
    </row>
    <row r="19" spans="1:12" x14ac:dyDescent="0.25">
      <c r="A19" s="3"/>
      <c r="B19" s="3"/>
      <c r="C19" s="3"/>
      <c r="D19" s="3"/>
      <c r="E19" s="3"/>
      <c r="F19" s="3"/>
      <c r="G19" s="3"/>
      <c r="H19" s="3"/>
      <c r="I19" s="3" t="s">
        <v>184</v>
      </c>
      <c r="J19" s="3"/>
      <c r="K19" s="3"/>
      <c r="L19" s="3" t="s">
        <v>185</v>
      </c>
    </row>
    <row r="20" spans="1:12" x14ac:dyDescent="0.25">
      <c r="A20" s="3"/>
      <c r="B20" s="3"/>
      <c r="C20" s="3"/>
      <c r="D20" s="3"/>
      <c r="E20" s="3"/>
      <c r="F20" s="3"/>
      <c r="G20" s="3"/>
      <c r="H20" s="3"/>
      <c r="I20" s="3" t="s">
        <v>184</v>
      </c>
      <c r="J20" s="3"/>
      <c r="K20" s="3"/>
      <c r="L20" s="3" t="s">
        <v>185</v>
      </c>
    </row>
    <row r="21" spans="1:12" x14ac:dyDescent="0.25">
      <c r="A21" s="3"/>
      <c r="B21" s="3"/>
      <c r="C21" s="3"/>
      <c r="D21" s="3"/>
      <c r="E21" s="3"/>
      <c r="F21" s="3"/>
      <c r="G21" s="3"/>
      <c r="H21" s="3"/>
      <c r="I21" s="3" t="s">
        <v>184</v>
      </c>
      <c r="J21" s="3"/>
      <c r="K21" s="3"/>
      <c r="L21" s="3" t="s">
        <v>185</v>
      </c>
    </row>
    <row r="22" spans="1:12" x14ac:dyDescent="0.25">
      <c r="A22" s="3"/>
      <c r="B22" s="3"/>
      <c r="C22" s="3"/>
      <c r="D22" s="3"/>
      <c r="E22" s="3"/>
      <c r="F22" s="3"/>
      <c r="G22" s="3"/>
      <c r="H22" s="3"/>
      <c r="I22" s="3" t="s">
        <v>184</v>
      </c>
      <c r="J22" s="3"/>
      <c r="K22" s="3"/>
      <c r="L22" s="3" t="s">
        <v>185</v>
      </c>
    </row>
    <row r="23" spans="1:12" x14ac:dyDescent="0.25">
      <c r="A23" s="3"/>
      <c r="B23" s="3"/>
      <c r="C23" s="3"/>
      <c r="D23" s="3"/>
      <c r="E23" s="3"/>
      <c r="F23" s="3"/>
      <c r="G23" s="3"/>
      <c r="H23" s="3"/>
      <c r="I23" s="3" t="s">
        <v>184</v>
      </c>
      <c r="J23" s="3"/>
      <c r="K23" s="3"/>
      <c r="L23" s="3" t="s">
        <v>185</v>
      </c>
    </row>
    <row r="24" spans="1:12" x14ac:dyDescent="0.25">
      <c r="A24" s="3"/>
      <c r="B24" s="3"/>
      <c r="C24" s="3"/>
      <c r="D24" s="3"/>
      <c r="E24" s="3"/>
      <c r="F24" s="3"/>
      <c r="G24" s="3"/>
      <c r="H24" s="3"/>
      <c r="I24" s="3" t="s">
        <v>184</v>
      </c>
      <c r="J24" s="3"/>
      <c r="K24" s="3"/>
      <c r="L24" s="3" t="s">
        <v>185</v>
      </c>
    </row>
    <row r="25" spans="1:12" x14ac:dyDescent="0.25">
      <c r="A25" s="3"/>
      <c r="B25" s="3"/>
      <c r="C25" s="3"/>
      <c r="D25" s="3"/>
      <c r="E25" s="3"/>
      <c r="F25" s="3"/>
      <c r="G25" s="3"/>
      <c r="H25" s="3"/>
      <c r="I25" s="3" t="s">
        <v>184</v>
      </c>
      <c r="J25" s="3"/>
      <c r="K25" s="3"/>
      <c r="L25" s="3" t="s">
        <v>185</v>
      </c>
    </row>
    <row r="26" spans="1:12" x14ac:dyDescent="0.25">
      <c r="A26" s="3"/>
      <c r="B26" s="3"/>
      <c r="C26" s="3"/>
      <c r="D26" s="3"/>
      <c r="E26" s="3"/>
      <c r="F26" s="3"/>
      <c r="G26" s="3"/>
      <c r="H26" s="3"/>
      <c r="I26" s="3" t="s">
        <v>184</v>
      </c>
      <c r="J26" s="3"/>
      <c r="K26" s="3"/>
      <c r="L26" s="3" t="s">
        <v>185</v>
      </c>
    </row>
    <row r="27" spans="1:12" x14ac:dyDescent="0.25">
      <c r="A27" s="3"/>
      <c r="B27" s="3"/>
      <c r="C27" s="3"/>
      <c r="D27" s="3"/>
      <c r="E27" s="3"/>
      <c r="F27" s="3"/>
      <c r="G27" s="3"/>
      <c r="H27" s="3"/>
      <c r="I27" s="3" t="s">
        <v>184</v>
      </c>
      <c r="J27" s="3"/>
      <c r="K27" s="3"/>
      <c r="L27" s="3" t="s">
        <v>185</v>
      </c>
    </row>
    <row r="28" spans="1:12" x14ac:dyDescent="0.25">
      <c r="A28" s="3"/>
      <c r="B28" s="3"/>
      <c r="C28" s="3"/>
      <c r="D28" s="3"/>
      <c r="E28" s="3"/>
      <c r="F28" s="3"/>
      <c r="G28" s="3"/>
      <c r="H28" s="3"/>
      <c r="I28" s="3" t="s">
        <v>184</v>
      </c>
      <c r="J28" s="3"/>
      <c r="K28" s="3"/>
      <c r="L28" s="3" t="s">
        <v>185</v>
      </c>
    </row>
    <row r="29" spans="1:12" x14ac:dyDescent="0.25">
      <c r="A29" s="3"/>
      <c r="B29" s="3"/>
      <c r="C29" s="3"/>
      <c r="D29" s="3"/>
      <c r="E29" s="3"/>
      <c r="F29" s="3"/>
      <c r="G29" s="3"/>
      <c r="H29" s="3"/>
      <c r="I29" s="3" t="s">
        <v>184</v>
      </c>
      <c r="J29" s="3"/>
      <c r="K29" s="3"/>
      <c r="L29" s="3" t="s">
        <v>185</v>
      </c>
    </row>
    <row r="30" spans="1:12" x14ac:dyDescent="0.25">
      <c r="A30" s="3"/>
      <c r="B30" s="3"/>
      <c r="C30" s="3"/>
      <c r="D30" s="3"/>
      <c r="E30" s="3"/>
      <c r="F30" s="3"/>
      <c r="G30" s="3"/>
      <c r="H30" s="3"/>
      <c r="I30" s="3" t="s">
        <v>184</v>
      </c>
      <c r="J30" s="3"/>
      <c r="K30" s="3"/>
      <c r="L30" s="3" t="s">
        <v>185</v>
      </c>
    </row>
    <row r="31" spans="1:12" x14ac:dyDescent="0.25">
      <c r="A31" s="3"/>
      <c r="B31" s="3"/>
      <c r="C31" s="3"/>
      <c r="D31" s="3"/>
      <c r="E31" s="3"/>
      <c r="F31" s="3"/>
      <c r="G31" s="3"/>
      <c r="H31" s="3"/>
      <c r="I31" s="3" t="s">
        <v>184</v>
      </c>
      <c r="J31" s="3"/>
      <c r="K31" s="3"/>
      <c r="L31" s="3" t="s">
        <v>185</v>
      </c>
    </row>
    <row r="32" spans="1:12" x14ac:dyDescent="0.25">
      <c r="A32" s="3"/>
      <c r="B32" s="3"/>
      <c r="C32" s="3"/>
      <c r="D32" s="3"/>
      <c r="E32" s="3"/>
      <c r="F32" s="3"/>
      <c r="G32" s="3"/>
      <c r="H32" s="3"/>
      <c r="I32" s="3" t="s">
        <v>184</v>
      </c>
      <c r="J32" s="3"/>
      <c r="K32" s="3"/>
      <c r="L32" s="3" t="s">
        <v>185</v>
      </c>
    </row>
    <row r="33" spans="1:12" x14ac:dyDescent="0.25">
      <c r="A33" s="3"/>
      <c r="B33" s="3"/>
      <c r="C33" s="3"/>
      <c r="D33" s="3"/>
      <c r="E33" s="3"/>
      <c r="F33" s="3"/>
      <c r="G33" s="3"/>
      <c r="H33" s="3"/>
      <c r="I33" s="3" t="s">
        <v>184</v>
      </c>
      <c r="J33" s="3"/>
      <c r="K33" s="3"/>
      <c r="L33" s="3" t="s">
        <v>185</v>
      </c>
    </row>
    <row r="34" spans="1:12" x14ac:dyDescent="0.25">
      <c r="A34" s="3"/>
      <c r="B34" s="3"/>
      <c r="C34" s="3"/>
      <c r="D34" s="3"/>
      <c r="E34" s="3"/>
      <c r="F34" s="3"/>
      <c r="G34" s="3"/>
      <c r="H34" s="3"/>
      <c r="I34" s="3" t="s">
        <v>184</v>
      </c>
      <c r="J34" s="3"/>
      <c r="K34" s="3"/>
      <c r="L34" s="3" t="s">
        <v>185</v>
      </c>
    </row>
    <row r="35" spans="1:12" x14ac:dyDescent="0.25">
      <c r="A35" s="3"/>
      <c r="B35" s="3"/>
      <c r="C35" s="3"/>
      <c r="D35" s="3"/>
      <c r="E35" s="3"/>
      <c r="F35" s="3"/>
      <c r="G35" s="3"/>
      <c r="H35" s="3"/>
      <c r="I35" s="3" t="s">
        <v>184</v>
      </c>
      <c r="J35" s="3"/>
      <c r="K35" s="3"/>
      <c r="L35" s="3" t="s">
        <v>185</v>
      </c>
    </row>
    <row r="36" spans="1:12" x14ac:dyDescent="0.25">
      <c r="A36" s="3"/>
      <c r="B36" s="3"/>
      <c r="C36" s="3"/>
      <c r="D36" s="3"/>
      <c r="E36" s="3"/>
      <c r="F36" s="3"/>
      <c r="G36" s="3"/>
      <c r="H36" s="3"/>
      <c r="I36" s="3" t="s">
        <v>184</v>
      </c>
      <c r="J36" s="3"/>
      <c r="K36" s="3"/>
      <c r="L36" s="3" t="s">
        <v>185</v>
      </c>
    </row>
    <row r="37" spans="1:12" x14ac:dyDescent="0.25">
      <c r="A37" s="3"/>
      <c r="B37" s="3"/>
      <c r="C37" s="3"/>
      <c r="D37" s="3"/>
      <c r="E37" s="3"/>
      <c r="F37" s="3"/>
      <c r="G37" s="3"/>
      <c r="H37" s="3"/>
      <c r="I37" s="3" t="s">
        <v>184</v>
      </c>
      <c r="J37" s="3"/>
      <c r="K37" s="3"/>
      <c r="L37" s="3" t="s">
        <v>185</v>
      </c>
    </row>
    <row r="38" spans="1:12" x14ac:dyDescent="0.25">
      <c r="A38" s="3"/>
      <c r="B38" s="3"/>
      <c r="C38" s="3"/>
      <c r="D38" s="3"/>
      <c r="E38" s="3"/>
      <c r="F38" s="3"/>
      <c r="G38" s="3"/>
      <c r="H38" s="3"/>
      <c r="I38" s="3" t="s">
        <v>184</v>
      </c>
      <c r="J38" s="3"/>
      <c r="K38" s="3"/>
      <c r="L38" s="3" t="s">
        <v>185</v>
      </c>
    </row>
    <row r="39" spans="1:12" x14ac:dyDescent="0.25">
      <c r="A39" s="3"/>
      <c r="B39" s="3"/>
      <c r="C39" s="3"/>
      <c r="D39" s="3"/>
      <c r="E39" s="3"/>
      <c r="F39" s="3"/>
      <c r="G39" s="3"/>
      <c r="H39" s="3"/>
      <c r="I39" s="3" t="s">
        <v>184</v>
      </c>
      <c r="J39" s="3"/>
      <c r="K39" s="3"/>
      <c r="L39" s="3" t="s">
        <v>185</v>
      </c>
    </row>
    <row r="40" spans="1:12" x14ac:dyDescent="0.25">
      <c r="A40" s="3"/>
      <c r="B40" s="3"/>
      <c r="C40" s="3"/>
      <c r="D40" s="3"/>
      <c r="E40" s="3"/>
      <c r="F40" s="3"/>
      <c r="G40" s="3"/>
      <c r="H40" s="3"/>
      <c r="I40" s="3" t="s">
        <v>184</v>
      </c>
      <c r="J40" s="3"/>
      <c r="K40" s="3"/>
      <c r="L40" s="3" t="s">
        <v>185</v>
      </c>
    </row>
    <row r="41" spans="1:12" x14ac:dyDescent="0.25">
      <c r="A41" s="3"/>
      <c r="B41" s="3"/>
      <c r="C41" s="3"/>
      <c r="D41" s="3"/>
      <c r="E41" s="3"/>
      <c r="F41" s="3"/>
      <c r="G41" s="3"/>
      <c r="H41" s="3"/>
      <c r="I41" s="3" t="s">
        <v>184</v>
      </c>
      <c r="J41" s="3"/>
      <c r="K41" s="3"/>
      <c r="L41" s="3" t="s">
        <v>185</v>
      </c>
    </row>
    <row r="42" spans="1:12" x14ac:dyDescent="0.25">
      <c r="A42" s="3"/>
      <c r="B42" s="3"/>
      <c r="C42" s="3"/>
      <c r="D42" s="3"/>
      <c r="E42" s="3"/>
      <c r="F42" s="3"/>
      <c r="G42" s="3"/>
      <c r="H42" s="3"/>
      <c r="I42" s="3" t="s">
        <v>184</v>
      </c>
      <c r="J42" s="3"/>
      <c r="K42" s="3"/>
      <c r="L42" s="3" t="s">
        <v>185</v>
      </c>
    </row>
    <row r="43" spans="1:12" x14ac:dyDescent="0.25">
      <c r="A43" s="3"/>
      <c r="B43" s="3"/>
      <c r="C43" s="3"/>
      <c r="D43" s="3"/>
      <c r="E43" s="3"/>
      <c r="F43" s="3"/>
      <c r="G43" s="3"/>
      <c r="H43" s="3"/>
      <c r="I43" s="3" t="s">
        <v>184</v>
      </c>
      <c r="J43" s="3"/>
      <c r="K43" s="3"/>
      <c r="L43" s="3" t="s">
        <v>185</v>
      </c>
    </row>
  </sheetData>
  <mergeCells count="1">
    <mergeCell ref="A1:L1"/>
  </mergeCells>
  <conditionalFormatting sqref="L4:L43">
    <cfRule type="expression" dxfId="2" priority="2">
      <formula>L4="Completed"</formula>
    </cfRule>
  </conditionalFormatting>
  <dataValidations count="2">
    <dataValidation type="list" sqref="I4:I43" xr:uid="{00000000-0002-0000-0300-000000000000}">
      <formula1>"Yes,No"</formula1>
      <formula2>0</formula2>
    </dataValidation>
    <dataValidation type="list" sqref="L4:L43" xr:uid="{00000000-0002-0000-0300-000001000000}">
      <formula1>"Not Started,In Progress,Completed,Blocked"</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opLeftCell="A7" zoomScaleNormal="100" workbookViewId="0">
      <selection activeCell="D6" sqref="D6"/>
    </sheetView>
  </sheetViews>
  <sheetFormatPr defaultColWidth="8.7109375" defaultRowHeight="15" x14ac:dyDescent="0.25"/>
  <cols>
    <col min="1" max="1" width="28" customWidth="1"/>
    <col min="2" max="2" width="20" customWidth="1"/>
    <col min="3" max="3" width="44" customWidth="1"/>
    <col min="4" max="4" width="20" customWidth="1"/>
    <col min="5" max="5" width="15" customWidth="1"/>
    <col min="6" max="6" width="23" customWidth="1"/>
    <col min="7" max="7" width="16" customWidth="1"/>
    <col min="8" max="8" width="34" customWidth="1"/>
  </cols>
  <sheetData>
    <row r="1" spans="1:8" ht="33.75" customHeight="1" x14ac:dyDescent="0.25">
      <c r="A1" s="15" t="s">
        <v>186</v>
      </c>
      <c r="B1" s="15"/>
      <c r="C1" s="15"/>
      <c r="D1" s="15"/>
      <c r="E1" s="15"/>
      <c r="F1" s="15"/>
      <c r="G1" s="15"/>
      <c r="H1" s="15"/>
    </row>
    <row r="3" spans="1:8" ht="30" customHeight="1" x14ac:dyDescent="0.25">
      <c r="A3" s="4" t="s">
        <v>187</v>
      </c>
      <c r="B3" s="4" t="s">
        <v>188</v>
      </c>
      <c r="C3" s="4" t="s">
        <v>189</v>
      </c>
      <c r="D3" s="4" t="s">
        <v>190</v>
      </c>
      <c r="E3" s="4" t="s">
        <v>191</v>
      </c>
      <c r="F3" s="4" t="s">
        <v>192</v>
      </c>
      <c r="G3" s="4" t="s">
        <v>193</v>
      </c>
      <c r="H3" s="4" t="s">
        <v>194</v>
      </c>
    </row>
    <row r="4" spans="1:8" ht="31.5" customHeight="1" x14ac:dyDescent="0.25">
      <c r="A4" t="s">
        <v>61</v>
      </c>
      <c r="B4" s="3" t="s">
        <v>254</v>
      </c>
      <c r="C4" s="22" t="s">
        <v>272</v>
      </c>
      <c r="D4" s="3" t="s">
        <v>141</v>
      </c>
      <c r="E4" s="9">
        <v>46297</v>
      </c>
      <c r="F4" s="3" t="s">
        <v>63</v>
      </c>
      <c r="G4" s="3" t="s">
        <v>141</v>
      </c>
      <c r="H4" s="3" t="s">
        <v>195</v>
      </c>
    </row>
    <row r="5" spans="1:8" ht="31.5" customHeight="1" x14ac:dyDescent="0.25">
      <c r="A5" t="s">
        <v>67</v>
      </c>
      <c r="B5" s="3" t="s">
        <v>255</v>
      </c>
      <c r="C5" s="22" t="s">
        <v>277</v>
      </c>
      <c r="D5" s="3" t="s">
        <v>141</v>
      </c>
      <c r="E5" s="9">
        <v>46304</v>
      </c>
      <c r="F5" s="3" t="s">
        <v>69</v>
      </c>
      <c r="G5" s="3" t="s">
        <v>141</v>
      </c>
      <c r="H5" s="3" t="s">
        <v>257</v>
      </c>
    </row>
    <row r="6" spans="1:8" ht="45.75" customHeight="1" x14ac:dyDescent="0.25">
      <c r="A6" t="s">
        <v>71</v>
      </c>
      <c r="B6" s="3" t="s">
        <v>255</v>
      </c>
      <c r="C6" s="22" t="s">
        <v>276</v>
      </c>
      <c r="D6" s="3" t="s">
        <v>141</v>
      </c>
      <c r="E6" s="9">
        <v>46304</v>
      </c>
      <c r="F6" s="3" t="s">
        <v>73</v>
      </c>
      <c r="G6" s="3" t="s">
        <v>141</v>
      </c>
      <c r="H6" s="3" t="s">
        <v>258</v>
      </c>
    </row>
    <row r="7" spans="1:8" ht="45.75" customHeight="1" x14ac:dyDescent="0.25">
      <c r="A7" t="s">
        <v>77</v>
      </c>
      <c r="B7" s="3" t="s">
        <v>255</v>
      </c>
      <c r="C7" s="22" t="s">
        <v>276</v>
      </c>
      <c r="D7" s="3" t="s">
        <v>141</v>
      </c>
      <c r="E7" s="9">
        <v>46304</v>
      </c>
      <c r="F7" s="3" t="s">
        <v>73</v>
      </c>
      <c r="G7" s="3" t="s">
        <v>141</v>
      </c>
      <c r="H7" s="3" t="s">
        <v>258</v>
      </c>
    </row>
    <row r="8" spans="1:8" ht="31.5" customHeight="1" x14ac:dyDescent="0.25">
      <c r="A8" t="s">
        <v>81</v>
      </c>
      <c r="B8" s="3" t="s">
        <v>255</v>
      </c>
      <c r="C8" s="22" t="s">
        <v>275</v>
      </c>
      <c r="D8" s="3" t="s">
        <v>141</v>
      </c>
      <c r="E8" s="9">
        <v>46290</v>
      </c>
      <c r="F8" s="3" t="s">
        <v>83</v>
      </c>
      <c r="G8" s="3" t="s">
        <v>141</v>
      </c>
      <c r="H8" s="3" t="s">
        <v>259</v>
      </c>
    </row>
    <row r="9" spans="1:8" ht="31.5" customHeight="1" x14ac:dyDescent="0.25">
      <c r="A9" t="s">
        <v>86</v>
      </c>
      <c r="B9" s="3" t="s">
        <v>256</v>
      </c>
      <c r="C9" s="22" t="s">
        <v>274</v>
      </c>
      <c r="D9" s="3" t="s">
        <v>141</v>
      </c>
      <c r="E9" s="9">
        <v>46304</v>
      </c>
      <c r="F9" s="3" t="s">
        <v>88</v>
      </c>
      <c r="G9" s="3" t="s">
        <v>141</v>
      </c>
      <c r="H9" s="3" t="s">
        <v>260</v>
      </c>
    </row>
    <row r="10" spans="1:8" ht="31.5" customHeight="1" x14ac:dyDescent="0.25">
      <c r="A10" t="s">
        <v>91</v>
      </c>
      <c r="B10" s="3" t="s">
        <v>256</v>
      </c>
      <c r="C10" s="22" t="s">
        <v>273</v>
      </c>
      <c r="D10" s="3" t="s">
        <v>141</v>
      </c>
      <c r="E10" s="9">
        <v>46304</v>
      </c>
      <c r="F10" s="3" t="s">
        <v>93</v>
      </c>
      <c r="G10" s="3" t="s">
        <v>141</v>
      </c>
      <c r="H10" s="3" t="s">
        <v>260</v>
      </c>
    </row>
    <row r="11" spans="1:8" ht="45.75" customHeight="1" x14ac:dyDescent="0.25">
      <c r="A11" t="s">
        <v>196</v>
      </c>
      <c r="B11" s="3"/>
      <c r="C11" s="22" t="s">
        <v>273</v>
      </c>
      <c r="D11" s="3" t="s">
        <v>141</v>
      </c>
      <c r="E11" s="9">
        <v>46304</v>
      </c>
      <c r="F11" s="3" t="s">
        <v>88</v>
      </c>
      <c r="G11" s="3" t="s">
        <v>141</v>
      </c>
      <c r="H11" s="3" t="s">
        <v>260</v>
      </c>
    </row>
  </sheetData>
  <mergeCells count="1">
    <mergeCell ref="A1:H1"/>
  </mergeCells>
  <dataValidations count="1">
    <dataValidation type="list" sqref="D4:D11 G4:G11" xr:uid="{00000000-0002-0000-0400-000000000000}">
      <formula1>"Yes,No"</formula1>
      <formula2>0</formula2>
    </dataValidation>
  </dataValidations>
  <hyperlinks>
    <hyperlink ref="C10" r:id="rId1" xr:uid="{338688AD-D1BD-4313-BBB0-F1FDB3F9A3FC}"/>
    <hyperlink ref="C9" r:id="rId2" xr:uid="{5081D6BA-D917-445A-A2C6-49F3E14EA63F}"/>
    <hyperlink ref="C11" r:id="rId3" xr:uid="{AD3EB680-C8C4-49BA-9796-FC468F99FFFD}"/>
    <hyperlink ref="C8" r:id="rId4" xr:uid="{1C775FF1-0A10-4B1B-AEFE-FA891748FD6B}"/>
    <hyperlink ref="C7" r:id="rId5" xr:uid="{4F36813C-8A93-4E9E-8FDC-F3BF9F18E425}"/>
    <hyperlink ref="C6" r:id="rId6" xr:uid="{5743AC9D-FC34-4D88-B2DD-21C4F03FB3BA}"/>
    <hyperlink ref="C5" r:id="rId7" xr:uid="{DD1F9B47-DEC7-40AE-B936-273E64F2D0A0}"/>
    <hyperlink ref="C4" r:id="rId8" xr:uid="{AC62DF19-96C8-4F3C-B697-4887A34960F4}"/>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3"/>
  <sheetViews>
    <sheetView topLeftCell="A2" zoomScaleNormal="100" workbookViewId="0">
      <selection sqref="A1:I1"/>
    </sheetView>
  </sheetViews>
  <sheetFormatPr defaultColWidth="8.7109375" defaultRowHeight="15" x14ac:dyDescent="0.25"/>
  <cols>
    <col min="1" max="1" width="15" customWidth="1"/>
    <col min="2" max="2" width="32" customWidth="1"/>
    <col min="3" max="3" width="34" customWidth="1"/>
    <col min="4" max="4" width="38" customWidth="1"/>
    <col min="5" max="5" width="24" customWidth="1"/>
    <col min="6" max="8" width="15" customWidth="1"/>
    <col min="9" max="9" width="32" customWidth="1"/>
  </cols>
  <sheetData>
    <row r="1" spans="1:9" ht="33.75" customHeight="1" x14ac:dyDescent="0.25">
      <c r="A1" s="15" t="s">
        <v>197</v>
      </c>
      <c r="B1" s="15"/>
      <c r="C1" s="15"/>
      <c r="D1" s="15"/>
      <c r="E1" s="15"/>
      <c r="F1" s="15"/>
      <c r="G1" s="15"/>
      <c r="H1" s="15"/>
      <c r="I1" s="15"/>
    </row>
    <row r="3" spans="1:9" ht="30" customHeight="1" x14ac:dyDescent="0.25">
      <c r="A3" s="4" t="s">
        <v>198</v>
      </c>
      <c r="B3" s="4" t="s">
        <v>199</v>
      </c>
      <c r="C3" s="4" t="s">
        <v>200</v>
      </c>
      <c r="D3" s="4" t="s">
        <v>201</v>
      </c>
      <c r="E3" s="4" t="s">
        <v>192</v>
      </c>
      <c r="F3" s="4" t="s">
        <v>202</v>
      </c>
      <c r="G3" s="4" t="s">
        <v>56</v>
      </c>
      <c r="H3" s="4" t="s">
        <v>203</v>
      </c>
      <c r="I3" s="4" t="s">
        <v>194</v>
      </c>
    </row>
    <row r="4" spans="1:9" ht="60" customHeight="1" x14ac:dyDescent="0.25">
      <c r="A4" s="9">
        <v>46290</v>
      </c>
      <c r="B4" s="3" t="s">
        <v>204</v>
      </c>
      <c r="C4" s="3" t="s">
        <v>205</v>
      </c>
      <c r="D4" s="3" t="s">
        <v>206</v>
      </c>
      <c r="E4" s="3" t="s">
        <v>136</v>
      </c>
      <c r="F4" s="9">
        <v>46300</v>
      </c>
      <c r="G4" s="3" t="s">
        <v>36</v>
      </c>
      <c r="H4" s="9">
        <v>46300</v>
      </c>
      <c r="I4" s="3"/>
    </row>
    <row r="5" spans="1:9" ht="73.5" customHeight="1" x14ac:dyDescent="0.25">
      <c r="A5" s="9">
        <v>46300</v>
      </c>
      <c r="B5" s="3" t="s">
        <v>207</v>
      </c>
      <c r="C5" s="3" t="s">
        <v>208</v>
      </c>
      <c r="D5" s="3" t="s">
        <v>209</v>
      </c>
      <c r="E5" s="3" t="s">
        <v>210</v>
      </c>
      <c r="F5" s="9">
        <v>46304</v>
      </c>
      <c r="G5" s="3" t="s">
        <v>36</v>
      </c>
      <c r="H5" s="9">
        <v>46304</v>
      </c>
      <c r="I5" s="3"/>
    </row>
    <row r="6" spans="1:9" ht="45.75" customHeight="1" x14ac:dyDescent="0.25">
      <c r="A6" s="9">
        <v>46307</v>
      </c>
      <c r="B6" s="3" t="s">
        <v>211</v>
      </c>
      <c r="C6" s="3" t="s">
        <v>212</v>
      </c>
      <c r="D6" s="3" t="s">
        <v>213</v>
      </c>
      <c r="E6" s="3" t="s">
        <v>210</v>
      </c>
      <c r="F6" s="9">
        <v>46307</v>
      </c>
      <c r="G6" s="3" t="s">
        <v>36</v>
      </c>
      <c r="H6" s="9">
        <v>46307</v>
      </c>
      <c r="I6" s="3"/>
    </row>
    <row r="7" spans="1:9" x14ac:dyDescent="0.25">
      <c r="A7" s="3"/>
      <c r="B7" s="3"/>
      <c r="C7" s="3"/>
      <c r="D7" s="3"/>
      <c r="E7" s="3"/>
      <c r="F7" s="3"/>
      <c r="G7" s="3" t="s">
        <v>185</v>
      </c>
      <c r="H7" s="3"/>
      <c r="I7" s="3"/>
    </row>
    <row r="8" spans="1:9" x14ac:dyDescent="0.25">
      <c r="A8" s="3"/>
      <c r="B8" s="3"/>
      <c r="C8" s="3"/>
      <c r="D8" s="3"/>
      <c r="E8" s="3"/>
      <c r="F8" s="3"/>
      <c r="G8" s="3" t="s">
        <v>185</v>
      </c>
      <c r="H8" s="3"/>
      <c r="I8" s="3"/>
    </row>
    <row r="9" spans="1:9" x14ac:dyDescent="0.25">
      <c r="A9" s="3"/>
      <c r="B9" s="3"/>
      <c r="C9" s="3"/>
      <c r="D9" s="3"/>
      <c r="E9" s="3"/>
      <c r="F9" s="3"/>
      <c r="G9" s="3" t="s">
        <v>185</v>
      </c>
      <c r="H9" s="3"/>
      <c r="I9" s="3"/>
    </row>
    <row r="10" spans="1:9" x14ac:dyDescent="0.25">
      <c r="A10" s="3"/>
      <c r="B10" s="3"/>
      <c r="C10" s="3"/>
      <c r="D10" s="3"/>
      <c r="E10" s="3"/>
      <c r="F10" s="3"/>
      <c r="G10" s="3" t="s">
        <v>185</v>
      </c>
      <c r="H10" s="3"/>
      <c r="I10" s="3"/>
    </row>
    <row r="11" spans="1:9" x14ac:dyDescent="0.25">
      <c r="A11" s="3"/>
      <c r="B11" s="3"/>
      <c r="C11" s="3"/>
      <c r="D11" s="3"/>
      <c r="E11" s="3"/>
      <c r="F11" s="3"/>
      <c r="G11" s="3" t="s">
        <v>185</v>
      </c>
      <c r="H11" s="3"/>
      <c r="I11" s="3"/>
    </row>
    <row r="12" spans="1:9" x14ac:dyDescent="0.25">
      <c r="A12" s="3"/>
      <c r="B12" s="3"/>
      <c r="C12" s="3"/>
      <c r="D12" s="3"/>
      <c r="E12" s="3"/>
      <c r="F12" s="3"/>
      <c r="G12" s="3" t="s">
        <v>185</v>
      </c>
      <c r="H12" s="3"/>
      <c r="I12" s="3"/>
    </row>
    <row r="13" spans="1:9" x14ac:dyDescent="0.25">
      <c r="A13" s="3"/>
      <c r="B13" s="3"/>
      <c r="C13" s="3"/>
      <c r="D13" s="3"/>
      <c r="E13" s="3"/>
      <c r="F13" s="3"/>
      <c r="G13" s="3" t="s">
        <v>185</v>
      </c>
      <c r="H13" s="3"/>
      <c r="I13" s="3"/>
    </row>
    <row r="14" spans="1:9" x14ac:dyDescent="0.25">
      <c r="A14" s="3"/>
      <c r="B14" s="3"/>
      <c r="C14" s="3"/>
      <c r="D14" s="3"/>
      <c r="E14" s="3"/>
      <c r="F14" s="3"/>
      <c r="G14" s="3" t="s">
        <v>185</v>
      </c>
      <c r="H14" s="3"/>
      <c r="I14" s="3"/>
    </row>
    <row r="15" spans="1:9" x14ac:dyDescent="0.25">
      <c r="A15" s="3"/>
      <c r="B15" s="3"/>
      <c r="C15" s="3"/>
      <c r="D15" s="3"/>
      <c r="E15" s="3"/>
      <c r="F15" s="3"/>
      <c r="G15" s="3" t="s">
        <v>185</v>
      </c>
      <c r="H15" s="3"/>
      <c r="I15" s="3"/>
    </row>
    <row r="16" spans="1:9" x14ac:dyDescent="0.25">
      <c r="A16" s="3"/>
      <c r="B16" s="3"/>
      <c r="C16" s="3"/>
      <c r="D16" s="3"/>
      <c r="E16" s="3"/>
      <c r="F16" s="3"/>
      <c r="G16" s="3" t="s">
        <v>185</v>
      </c>
      <c r="H16" s="3"/>
      <c r="I16" s="3"/>
    </row>
    <row r="17" spans="1:9" x14ac:dyDescent="0.25">
      <c r="A17" s="3"/>
      <c r="B17" s="3"/>
      <c r="C17" s="3"/>
      <c r="D17" s="3"/>
      <c r="E17" s="3"/>
      <c r="F17" s="3"/>
      <c r="G17" s="3" t="s">
        <v>185</v>
      </c>
      <c r="H17" s="3"/>
      <c r="I17" s="3"/>
    </row>
    <row r="18" spans="1:9" x14ac:dyDescent="0.25">
      <c r="A18" s="3"/>
      <c r="B18" s="3"/>
      <c r="C18" s="3"/>
      <c r="D18" s="3"/>
      <c r="E18" s="3"/>
      <c r="F18" s="3"/>
      <c r="G18" s="3" t="s">
        <v>185</v>
      </c>
      <c r="H18" s="3"/>
      <c r="I18" s="3"/>
    </row>
    <row r="19" spans="1:9" x14ac:dyDescent="0.25">
      <c r="A19" s="3"/>
      <c r="B19" s="3"/>
      <c r="C19" s="3"/>
      <c r="D19" s="3"/>
      <c r="E19" s="3"/>
      <c r="F19" s="3"/>
      <c r="G19" s="3" t="s">
        <v>185</v>
      </c>
      <c r="H19" s="3"/>
      <c r="I19" s="3"/>
    </row>
    <row r="20" spans="1:9" x14ac:dyDescent="0.25">
      <c r="A20" s="3"/>
      <c r="B20" s="3"/>
      <c r="C20" s="3"/>
      <c r="D20" s="3"/>
      <c r="E20" s="3"/>
      <c r="F20" s="3"/>
      <c r="G20" s="3" t="s">
        <v>185</v>
      </c>
      <c r="H20" s="3"/>
      <c r="I20" s="3"/>
    </row>
    <row r="21" spans="1:9" x14ac:dyDescent="0.25">
      <c r="A21" s="3"/>
      <c r="B21" s="3"/>
      <c r="C21" s="3"/>
      <c r="D21" s="3"/>
      <c r="E21" s="3"/>
      <c r="F21" s="3"/>
      <c r="G21" s="3" t="s">
        <v>185</v>
      </c>
      <c r="H21" s="3"/>
      <c r="I21" s="3"/>
    </row>
    <row r="22" spans="1:9" x14ac:dyDescent="0.25">
      <c r="A22" s="3"/>
      <c r="B22" s="3"/>
      <c r="C22" s="3"/>
      <c r="D22" s="3"/>
      <c r="E22" s="3"/>
      <c r="F22" s="3"/>
      <c r="G22" s="3" t="s">
        <v>185</v>
      </c>
      <c r="H22" s="3"/>
      <c r="I22" s="3"/>
    </row>
    <row r="23" spans="1:9" x14ac:dyDescent="0.25">
      <c r="A23" s="3"/>
      <c r="B23" s="3"/>
      <c r="C23" s="3"/>
      <c r="D23" s="3"/>
      <c r="E23" s="3"/>
      <c r="F23" s="3"/>
      <c r="G23" s="3" t="s">
        <v>185</v>
      </c>
      <c r="H23" s="3"/>
      <c r="I23" s="3"/>
    </row>
    <row r="24" spans="1:9" x14ac:dyDescent="0.25">
      <c r="A24" s="3"/>
      <c r="B24" s="3"/>
      <c r="C24" s="3"/>
      <c r="D24" s="3"/>
      <c r="E24" s="3"/>
      <c r="F24" s="3"/>
      <c r="G24" s="3" t="s">
        <v>185</v>
      </c>
      <c r="H24" s="3"/>
      <c r="I24" s="3"/>
    </row>
    <row r="25" spans="1:9" x14ac:dyDescent="0.25">
      <c r="A25" s="3"/>
      <c r="B25" s="3"/>
      <c r="C25" s="3"/>
      <c r="D25" s="3"/>
      <c r="E25" s="3"/>
      <c r="F25" s="3"/>
      <c r="G25" s="3" t="s">
        <v>185</v>
      </c>
      <c r="H25" s="3"/>
      <c r="I25" s="3"/>
    </row>
    <row r="26" spans="1:9" x14ac:dyDescent="0.25">
      <c r="A26" s="3"/>
      <c r="B26" s="3"/>
      <c r="C26" s="3"/>
      <c r="D26" s="3"/>
      <c r="E26" s="3"/>
      <c r="F26" s="3"/>
      <c r="G26" s="3" t="s">
        <v>185</v>
      </c>
      <c r="H26" s="3"/>
      <c r="I26" s="3"/>
    </row>
    <row r="27" spans="1:9" x14ac:dyDescent="0.25">
      <c r="A27" s="3"/>
      <c r="B27" s="3"/>
      <c r="C27" s="3"/>
      <c r="D27" s="3"/>
      <c r="E27" s="3"/>
      <c r="F27" s="3"/>
      <c r="G27" s="3" t="s">
        <v>185</v>
      </c>
      <c r="H27" s="3"/>
      <c r="I27" s="3"/>
    </row>
    <row r="28" spans="1:9" x14ac:dyDescent="0.25">
      <c r="A28" s="3"/>
      <c r="B28" s="3"/>
      <c r="C28" s="3"/>
      <c r="D28" s="3"/>
      <c r="E28" s="3"/>
      <c r="F28" s="3"/>
      <c r="G28" s="3" t="s">
        <v>185</v>
      </c>
      <c r="H28" s="3"/>
      <c r="I28" s="3"/>
    </row>
    <row r="29" spans="1:9" x14ac:dyDescent="0.25">
      <c r="A29" s="3"/>
      <c r="B29" s="3"/>
      <c r="C29" s="3"/>
      <c r="D29" s="3"/>
      <c r="E29" s="3"/>
      <c r="F29" s="3"/>
      <c r="G29" s="3" t="s">
        <v>185</v>
      </c>
      <c r="H29" s="3"/>
      <c r="I29" s="3"/>
    </row>
    <row r="30" spans="1:9" x14ac:dyDescent="0.25">
      <c r="A30" s="3"/>
      <c r="B30" s="3"/>
      <c r="C30" s="3"/>
      <c r="D30" s="3"/>
      <c r="E30" s="3"/>
      <c r="F30" s="3"/>
      <c r="G30" s="3" t="s">
        <v>185</v>
      </c>
      <c r="H30" s="3"/>
      <c r="I30" s="3"/>
    </row>
    <row r="31" spans="1:9" x14ac:dyDescent="0.25">
      <c r="A31" s="3"/>
      <c r="B31" s="3"/>
      <c r="C31" s="3"/>
      <c r="D31" s="3"/>
      <c r="E31" s="3"/>
      <c r="F31" s="3"/>
      <c r="G31" s="3" t="s">
        <v>185</v>
      </c>
      <c r="H31" s="3"/>
      <c r="I31" s="3"/>
    </row>
    <row r="32" spans="1:9" x14ac:dyDescent="0.25">
      <c r="A32" s="3"/>
      <c r="B32" s="3"/>
      <c r="C32" s="3"/>
      <c r="D32" s="3"/>
      <c r="E32" s="3"/>
      <c r="F32" s="3"/>
      <c r="G32" s="3" t="s">
        <v>185</v>
      </c>
      <c r="H32" s="3"/>
      <c r="I32" s="3"/>
    </row>
    <row r="33" spans="1:9" x14ac:dyDescent="0.25">
      <c r="A33" s="3"/>
      <c r="B33" s="3"/>
      <c r="C33" s="3"/>
      <c r="D33" s="3"/>
      <c r="E33" s="3"/>
      <c r="F33" s="3"/>
      <c r="G33" s="3" t="s">
        <v>185</v>
      </c>
      <c r="H33" s="3"/>
      <c r="I33" s="3"/>
    </row>
  </sheetData>
  <mergeCells count="1">
    <mergeCell ref="A1:I1"/>
  </mergeCells>
  <conditionalFormatting sqref="G4:G33">
    <cfRule type="expression" dxfId="1" priority="2">
      <formula>G4="Completed"</formula>
    </cfRule>
    <cfRule type="expression" dxfId="0" priority="3">
      <formula>G4="Blocked"</formula>
    </cfRule>
  </conditionalFormatting>
  <dataValidations count="1">
    <dataValidation type="list" sqref="G4:G33" xr:uid="{00000000-0002-0000-0500-000000000000}">
      <formula1>"Not Started,In Progress,Completed,Blocked"</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6"/>
  <sheetViews>
    <sheetView zoomScaleNormal="100" workbookViewId="0">
      <selection activeCell="B7" sqref="B7:C7"/>
    </sheetView>
  </sheetViews>
  <sheetFormatPr defaultColWidth="8.7109375" defaultRowHeight="15" x14ac:dyDescent="0.25"/>
  <cols>
    <col min="1" max="1" width="38" customWidth="1"/>
    <col min="2" max="3" width="34" customWidth="1"/>
    <col min="4" max="4" width="4" customWidth="1"/>
    <col min="5" max="5" width="38" customWidth="1"/>
    <col min="6" max="6" width="14" customWidth="1"/>
  </cols>
  <sheetData>
    <row r="1" spans="1:6" ht="33.75" customHeight="1" x14ac:dyDescent="0.25">
      <c r="A1" s="15" t="s">
        <v>31</v>
      </c>
      <c r="B1" s="15"/>
      <c r="C1" s="15"/>
      <c r="D1" s="15"/>
      <c r="E1" s="15"/>
      <c r="F1" s="15"/>
    </row>
    <row r="3" spans="1:6" ht="30" customHeight="1" x14ac:dyDescent="0.25">
      <c r="A3" s="2" t="s">
        <v>44</v>
      </c>
      <c r="B3" s="13" t="s">
        <v>45</v>
      </c>
      <c r="C3" s="13"/>
      <c r="E3" s="4" t="s">
        <v>214</v>
      </c>
      <c r="F3" s="4" t="s">
        <v>215</v>
      </c>
    </row>
    <row r="4" spans="1:6" ht="18" customHeight="1" x14ac:dyDescent="0.25">
      <c r="A4" s="2" t="s">
        <v>46</v>
      </c>
      <c r="B4" s="13" t="s">
        <v>36</v>
      </c>
      <c r="C4" s="13"/>
      <c r="E4" t="s">
        <v>216</v>
      </c>
      <c r="F4" s="3" t="s">
        <v>141</v>
      </c>
    </row>
    <row r="5" spans="1:6" ht="157.5" customHeight="1" x14ac:dyDescent="0.25">
      <c r="A5" s="2" t="s">
        <v>217</v>
      </c>
      <c r="B5" s="13" t="s">
        <v>218</v>
      </c>
      <c r="C5" s="13"/>
      <c r="E5" t="s">
        <v>219</v>
      </c>
      <c r="F5" s="3" t="s">
        <v>141</v>
      </c>
    </row>
    <row r="6" spans="1:6" ht="73.5" customHeight="1" x14ac:dyDescent="0.25">
      <c r="A6" s="2" t="s">
        <v>220</v>
      </c>
      <c r="B6" s="13" t="s">
        <v>270</v>
      </c>
      <c r="C6" s="13"/>
      <c r="E6" t="s">
        <v>221</v>
      </c>
      <c r="F6" s="3" t="s">
        <v>141</v>
      </c>
    </row>
    <row r="7" spans="1:6" ht="87.75" customHeight="1" x14ac:dyDescent="0.25">
      <c r="A7" s="2" t="s">
        <v>222</v>
      </c>
      <c r="B7" s="13" t="s">
        <v>271</v>
      </c>
      <c r="C7" s="13"/>
      <c r="E7" t="s">
        <v>223</v>
      </c>
      <c r="F7" s="3" t="s">
        <v>141</v>
      </c>
    </row>
    <row r="8" spans="1:6" ht="144" customHeight="1" x14ac:dyDescent="0.25">
      <c r="A8" s="2" t="s">
        <v>224</v>
      </c>
      <c r="B8" s="13" t="s">
        <v>225</v>
      </c>
      <c r="C8" s="13"/>
      <c r="E8" t="s">
        <v>226</v>
      </c>
      <c r="F8" s="3" t="s">
        <v>141</v>
      </c>
    </row>
    <row r="9" spans="1:6" ht="73.5" customHeight="1" x14ac:dyDescent="0.25">
      <c r="A9" s="2" t="s">
        <v>227</v>
      </c>
      <c r="B9" s="13" t="s">
        <v>228</v>
      </c>
      <c r="C9" s="13"/>
      <c r="E9" t="s">
        <v>229</v>
      </c>
      <c r="F9" s="3" t="s">
        <v>141</v>
      </c>
    </row>
    <row r="10" spans="1:6" ht="73.5" customHeight="1" x14ac:dyDescent="0.25">
      <c r="A10" s="2" t="s">
        <v>230</v>
      </c>
      <c r="B10" s="13" t="s">
        <v>231</v>
      </c>
      <c r="C10" s="13"/>
      <c r="E10" t="s">
        <v>232</v>
      </c>
      <c r="F10" s="3" t="s">
        <v>141</v>
      </c>
    </row>
    <row r="11" spans="1:6" ht="60" customHeight="1" x14ac:dyDescent="0.25">
      <c r="A11" s="2" t="s">
        <v>233</v>
      </c>
      <c r="B11" s="13" t="s">
        <v>234</v>
      </c>
      <c r="C11" s="13"/>
      <c r="E11" t="s">
        <v>235</v>
      </c>
      <c r="F11" s="3" t="s">
        <v>141</v>
      </c>
    </row>
    <row r="12" spans="1:6" x14ac:dyDescent="0.25">
      <c r="E12" t="s">
        <v>236</v>
      </c>
      <c r="F12" s="3" t="s">
        <v>141</v>
      </c>
    </row>
    <row r="13" spans="1:6" x14ac:dyDescent="0.25">
      <c r="E13" t="s">
        <v>237</v>
      </c>
      <c r="F13" s="3" t="s">
        <v>141</v>
      </c>
    </row>
    <row r="14" spans="1:6" x14ac:dyDescent="0.25">
      <c r="E14" t="s">
        <v>238</v>
      </c>
      <c r="F14" s="3" t="s">
        <v>141</v>
      </c>
    </row>
    <row r="15" spans="1:6" x14ac:dyDescent="0.25">
      <c r="E15" t="s">
        <v>239</v>
      </c>
      <c r="F15" s="3" t="s">
        <v>141</v>
      </c>
    </row>
    <row r="16" spans="1:6" x14ac:dyDescent="0.25">
      <c r="E16" t="s">
        <v>240</v>
      </c>
      <c r="F16" s="3" t="s">
        <v>141</v>
      </c>
    </row>
  </sheetData>
  <mergeCells count="10">
    <mergeCell ref="A1:F1"/>
    <mergeCell ref="B3:C3"/>
    <mergeCell ref="B4:C4"/>
    <mergeCell ref="B5:C5"/>
    <mergeCell ref="B6:C6"/>
    <mergeCell ref="B7:C7"/>
    <mergeCell ref="B8:C8"/>
    <mergeCell ref="B9:C9"/>
    <mergeCell ref="B10:C10"/>
    <mergeCell ref="B11:C11"/>
  </mergeCells>
  <dataValidations count="2">
    <dataValidation type="list" sqref="B4" xr:uid="{00000000-0002-0000-0600-000000000000}">
      <formula1>"Not Started,In Progress,Completed,Blocked"</formula1>
      <formula2>0</formula2>
    </dataValidation>
    <dataValidation type="list" sqref="F4:F16" xr:uid="{00000000-0002-0000-0600-000001000000}">
      <formula1>"Yes,No"</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5"/>
  <sheetViews>
    <sheetView topLeftCell="A16" zoomScaleNormal="100" workbookViewId="0">
      <selection sqref="A1:F1"/>
    </sheetView>
  </sheetViews>
  <sheetFormatPr defaultColWidth="8.7109375" defaultRowHeight="15" x14ac:dyDescent="0.25"/>
  <cols>
    <col min="1" max="6" width="24" customWidth="1"/>
  </cols>
  <sheetData>
    <row r="1" spans="1:6" ht="33.75" customHeight="1" x14ac:dyDescent="0.25">
      <c r="A1" s="15" t="s">
        <v>241</v>
      </c>
      <c r="B1" s="15"/>
      <c r="C1" s="15"/>
      <c r="D1" s="15"/>
      <c r="E1" s="15"/>
      <c r="F1" s="15"/>
    </row>
    <row r="3" spans="1:6" ht="27.75" customHeight="1" x14ac:dyDescent="0.25">
      <c r="A3" s="14" t="s">
        <v>242</v>
      </c>
      <c r="B3" s="14"/>
      <c r="C3" s="14"/>
      <c r="D3" s="14"/>
      <c r="E3" s="14"/>
      <c r="F3" s="14"/>
    </row>
    <row r="4" spans="1:6" ht="45" customHeight="1" x14ac:dyDescent="0.25">
      <c r="A4" s="16" t="s">
        <v>243</v>
      </c>
      <c r="B4" s="16"/>
      <c r="C4" s="16"/>
      <c r="D4" s="16"/>
      <c r="E4" s="16"/>
      <c r="F4" s="16"/>
    </row>
    <row r="5" spans="1:6" ht="45" customHeight="1" x14ac:dyDescent="0.25">
      <c r="A5" s="16"/>
      <c r="B5" s="16"/>
      <c r="C5" s="16"/>
      <c r="D5" s="16"/>
      <c r="E5" s="16"/>
      <c r="F5" s="16"/>
    </row>
    <row r="6" spans="1:6" ht="30" customHeight="1" x14ac:dyDescent="0.25">
      <c r="A6" s="1"/>
      <c r="B6" s="1"/>
      <c r="C6" s="1"/>
      <c r="D6" s="1"/>
      <c r="E6" s="1"/>
      <c r="F6" s="1"/>
    </row>
    <row r="7" spans="1:6" ht="27.75" customHeight="1" x14ac:dyDescent="0.25">
      <c r="A7" s="17" t="s">
        <v>244</v>
      </c>
      <c r="B7" s="17"/>
      <c r="C7" s="17"/>
      <c r="D7" s="17"/>
      <c r="E7" s="17"/>
      <c r="F7" s="17"/>
    </row>
    <row r="8" spans="1:6" ht="38.25" customHeight="1" x14ac:dyDescent="0.25">
      <c r="A8" s="16" t="s">
        <v>245</v>
      </c>
      <c r="B8" s="16"/>
      <c r="C8" s="16"/>
      <c r="D8" s="16"/>
      <c r="E8" s="16"/>
      <c r="F8" s="16"/>
    </row>
    <row r="9" spans="1:6" ht="38.25" customHeight="1" x14ac:dyDescent="0.25">
      <c r="A9" s="16"/>
      <c r="B9" s="16"/>
      <c r="C9" s="16"/>
      <c r="D9" s="16"/>
      <c r="E9" s="16"/>
      <c r="F9" s="16"/>
    </row>
    <row r="10" spans="1:6" x14ac:dyDescent="0.25">
      <c r="A10" s="3"/>
      <c r="B10" s="3"/>
      <c r="C10" s="3"/>
      <c r="D10" s="3"/>
      <c r="E10" s="3"/>
      <c r="F10" s="3"/>
    </row>
    <row r="11" spans="1:6" ht="27.75" customHeight="1" x14ac:dyDescent="0.25">
      <c r="A11" s="14" t="s">
        <v>246</v>
      </c>
      <c r="B11" s="14"/>
      <c r="C11" s="14"/>
      <c r="D11" s="14"/>
      <c r="E11" s="14"/>
      <c r="F11" s="14"/>
    </row>
    <row r="12" spans="1:6" ht="52.5" customHeight="1" x14ac:dyDescent="0.25">
      <c r="A12" s="13" t="s">
        <v>247</v>
      </c>
      <c r="B12" s="13"/>
      <c r="C12" s="13"/>
      <c r="D12" s="13"/>
      <c r="E12" s="13"/>
      <c r="F12" s="13"/>
    </row>
    <row r="13" spans="1:6" ht="52.5" customHeight="1" x14ac:dyDescent="0.25">
      <c r="A13" s="13"/>
      <c r="B13" s="13"/>
      <c r="C13" s="13"/>
      <c r="D13" s="13"/>
      <c r="E13" s="13"/>
      <c r="F13" s="13"/>
    </row>
    <row r="15" spans="1:6" ht="27.75" customHeight="1" x14ac:dyDescent="0.25">
      <c r="A15" s="14" t="s">
        <v>248</v>
      </c>
      <c r="B15" s="14"/>
      <c r="C15" s="14"/>
      <c r="D15" s="14"/>
      <c r="E15" s="14"/>
      <c r="F15" s="14"/>
    </row>
    <row r="16" spans="1:6" ht="60" customHeight="1" x14ac:dyDescent="0.25">
      <c r="A16" s="13" t="s">
        <v>249</v>
      </c>
      <c r="B16" s="13"/>
      <c r="C16" s="13"/>
      <c r="D16" s="13"/>
      <c r="E16" s="13"/>
      <c r="F16" s="13"/>
    </row>
    <row r="17" spans="1:6" ht="60" customHeight="1" x14ac:dyDescent="0.25">
      <c r="A17" s="13"/>
      <c r="B17" s="13"/>
      <c r="C17" s="13"/>
      <c r="D17" s="13"/>
      <c r="E17" s="13"/>
      <c r="F17" s="13"/>
    </row>
    <row r="19" spans="1:6" ht="27.75" customHeight="1" x14ac:dyDescent="0.25">
      <c r="A19" s="14" t="s">
        <v>250</v>
      </c>
      <c r="B19" s="14"/>
      <c r="C19" s="14"/>
      <c r="D19" s="14"/>
      <c r="E19" s="14"/>
      <c r="F19" s="14"/>
    </row>
    <row r="20" spans="1:6" ht="38.25" customHeight="1" x14ac:dyDescent="0.25">
      <c r="A20" s="13" t="s">
        <v>251</v>
      </c>
      <c r="B20" s="13"/>
      <c r="C20" s="13"/>
      <c r="D20" s="13"/>
      <c r="E20" s="13"/>
      <c r="F20" s="13"/>
    </row>
    <row r="21" spans="1:6" ht="38.25" customHeight="1" x14ac:dyDescent="0.25">
      <c r="A21" s="13"/>
      <c r="B21" s="13"/>
      <c r="C21" s="13"/>
      <c r="D21" s="13"/>
      <c r="E21" s="13"/>
      <c r="F21" s="13"/>
    </row>
    <row r="23" spans="1:6" ht="27.75" customHeight="1" x14ac:dyDescent="0.25">
      <c r="A23" s="14" t="s">
        <v>252</v>
      </c>
      <c r="B23" s="14"/>
      <c r="C23" s="14"/>
      <c r="D23" s="14"/>
      <c r="E23" s="14"/>
      <c r="F23" s="14"/>
    </row>
    <row r="24" spans="1:6" ht="38.25" customHeight="1" x14ac:dyDescent="0.25">
      <c r="A24" s="13" t="s">
        <v>253</v>
      </c>
      <c r="B24" s="13"/>
      <c r="C24" s="13"/>
      <c r="D24" s="13"/>
      <c r="E24" s="13"/>
      <c r="F24" s="13"/>
    </row>
    <row r="25" spans="1:6" ht="38.25" customHeight="1" x14ac:dyDescent="0.25">
      <c r="A25" s="13"/>
      <c r="B25" s="13"/>
      <c r="C25" s="13"/>
      <c r="D25" s="13"/>
      <c r="E25" s="13"/>
      <c r="F25" s="13"/>
    </row>
  </sheetData>
  <mergeCells count="13">
    <mergeCell ref="A1:F1"/>
    <mergeCell ref="A3:F3"/>
    <mergeCell ref="A4:F5"/>
    <mergeCell ref="A7:F7"/>
    <mergeCell ref="A8:F9"/>
    <mergeCell ref="A20:F21"/>
    <mergeCell ref="A23:F23"/>
    <mergeCell ref="A24:F25"/>
    <mergeCell ref="A11:F11"/>
    <mergeCell ref="A12:F13"/>
    <mergeCell ref="A15:F15"/>
    <mergeCell ref="A16:F17"/>
    <mergeCell ref="A19:F19"/>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Design Progress</vt:lpstr>
      <vt:lpstr>Individual Contributions</vt:lpstr>
      <vt:lpstr>Design Source Links</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Lesako Mpho</cp:lastModifiedBy>
  <cp:revision>0</cp:revision>
  <dcterms:created xsi:type="dcterms:W3CDTF">2026-10-12T14:19:40Z</dcterms:created>
  <dcterms:modified xsi:type="dcterms:W3CDTF">2026-10-13T19:16:09Z</dcterms:modified>
  <dc:language>en-US</dc:language>
</cp:coreProperties>
</file>